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via\Google Drive\∑ Projetos\PRODIET NUTRIÇÃO\INOVAÇÃO TECNOLÓGICA\2013\"/>
    </mc:Choice>
  </mc:AlternateContent>
  <bookViews>
    <workbookView xWindow="165" yWindow="705" windowWidth="20400" windowHeight="8205" tabRatio="710" activeTab="1"/>
  </bookViews>
  <sheets>
    <sheet name="Resumo" sheetId="2" r:id="rId1"/>
    <sheet name="Investimentos" sheetId="1" r:id="rId2"/>
    <sheet name="Terceiros" sheetId="4" r:id="rId3"/>
    <sheet name="Terceiros-Resumo" sheetId="9" r:id="rId4"/>
    <sheet name="Salário e Custo Hora" sheetId="3" r:id="rId5"/>
    <sheet name="Projetos" sheetId="8" r:id="rId6"/>
    <sheet name="Dias Úteis" sheetId="6" r:id="rId7"/>
    <sheet name="Valores desclassificados" sheetId="7" r:id="rId8"/>
    <sheet name="Quadro de pessoal" sheetId="10" r:id="rId9"/>
    <sheet name="Plan2" sheetId="11" r:id="rId10"/>
  </sheets>
  <definedNames>
    <definedName name="_xlnm._FilterDatabase" localSheetId="1" hidden="1">Investimentos!$A$5:$P$102</definedName>
    <definedName name="_xlnm.Print_Area" localSheetId="1">Investimentos!$C$1:$Q$102</definedName>
    <definedName name="_xlnm.Print_Area" localSheetId="0">Resumo!$A$1:$I$54</definedName>
    <definedName name="_xlnm.Print_Area" localSheetId="4">'Salário e Custo Hora'!$B$1:$Q$36</definedName>
    <definedName name="_xlnm.Print_Area" localSheetId="2">Terceiros!$B$1:$H$33</definedName>
    <definedName name="_xlnm.Print_Titles" localSheetId="1">Investimentos!$1:$5</definedName>
  </definedNames>
  <calcPr calcId="152511"/>
</workbook>
</file>

<file path=xl/calcChain.xml><?xml version="1.0" encoding="utf-8"?>
<calcChain xmlns="http://schemas.openxmlformats.org/spreadsheetml/2006/main">
  <c r="H13" i="10" l="1"/>
  <c r="H12" i="10"/>
  <c r="H11" i="10"/>
  <c r="H10" i="10"/>
  <c r="H9" i="10"/>
  <c r="H8" i="10"/>
  <c r="G14" i="10"/>
  <c r="F14" i="10"/>
  <c r="E14" i="10"/>
  <c r="H14" i="10" s="1"/>
  <c r="H16" i="10" s="1"/>
  <c r="D14" i="10"/>
  <c r="G100" i="1"/>
  <c r="G99" i="1"/>
  <c r="G98" i="1"/>
  <c r="G97" i="1"/>
  <c r="G96" i="1"/>
  <c r="G95" i="1"/>
  <c r="G94" i="1"/>
  <c r="G93" i="1"/>
  <c r="G92" i="1"/>
  <c r="G91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D38" i="9" l="1"/>
  <c r="D39" i="9"/>
  <c r="D41" i="9"/>
  <c r="D42" i="9"/>
  <c r="D14" i="9"/>
  <c r="D15" i="9"/>
  <c r="D17" i="9"/>
  <c r="D18" i="9"/>
  <c r="D21" i="9"/>
  <c r="D23" i="9"/>
  <c r="D25" i="9"/>
  <c r="D26" i="9"/>
  <c r="D27" i="9"/>
  <c r="D28" i="9"/>
  <c r="D29" i="9"/>
  <c r="D33" i="9" l="1"/>
  <c r="C42" i="4"/>
  <c r="E10" i="8"/>
  <c r="G44" i="2" l="1"/>
  <c r="G46" i="2" s="1"/>
  <c r="F44" i="2"/>
  <c r="E44" i="2"/>
  <c r="D44" i="2"/>
  <c r="G26" i="2"/>
  <c r="F26" i="2"/>
  <c r="E26" i="2"/>
  <c r="D26" i="2"/>
  <c r="G47" i="2" l="1"/>
  <c r="G48" i="2" s="1"/>
  <c r="G45" i="2"/>
  <c r="D46" i="2"/>
  <c r="E46" i="2"/>
  <c r="F46" i="2"/>
  <c r="E7" i="3"/>
  <c r="E47" i="2" l="1"/>
  <c r="E48" i="2" s="1"/>
  <c r="D47" i="2"/>
  <c r="D48" i="2" s="1"/>
  <c r="F47" i="2"/>
  <c r="F48" i="2" s="1"/>
  <c r="G53" i="2"/>
  <c r="G50" i="2"/>
  <c r="G51" i="2" s="1"/>
  <c r="G49" i="2"/>
  <c r="H16" i="2"/>
  <c r="N81" i="1"/>
  <c r="N64" i="1"/>
  <c r="N62" i="1"/>
  <c r="G52" i="2" l="1"/>
  <c r="G54" i="2" s="1"/>
  <c r="F53" i="2"/>
  <c r="F50" i="2"/>
  <c r="F49" i="2"/>
  <c r="E53" i="2"/>
  <c r="E50" i="2"/>
  <c r="E49" i="2"/>
  <c r="D53" i="2"/>
  <c r="D50" i="2"/>
  <c r="D49" i="2"/>
  <c r="P62" i="1"/>
  <c r="D51" i="2" l="1"/>
  <c r="D52" i="2" s="1"/>
  <c r="D54" i="2" s="1"/>
  <c r="F51" i="2"/>
  <c r="F52" i="2" s="1"/>
  <c r="F54" i="2" s="1"/>
  <c r="E51" i="2"/>
  <c r="E52" i="2" s="1"/>
  <c r="E54" i="2" s="1"/>
  <c r="P56" i="1"/>
  <c r="P64" i="1" l="1"/>
  <c r="P57" i="1" l="1"/>
  <c r="D19" i="9" s="1"/>
  <c r="P8" i="1" l="1"/>
  <c r="P6" i="1"/>
  <c r="P77" i="1"/>
  <c r="P76" i="1"/>
  <c r="P75" i="1"/>
  <c r="P78" i="1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P102" i="1"/>
  <c r="P101" i="1"/>
  <c r="P90" i="1"/>
  <c r="N5" i="7" l="1"/>
  <c r="D20" i="9"/>
  <c r="P81" i="1"/>
  <c r="P80" i="1"/>
  <c r="P89" i="1"/>
  <c r="P87" i="1"/>
  <c r="P86" i="1"/>
  <c r="P85" i="1"/>
  <c r="P84" i="1"/>
  <c r="D22" i="9" l="1"/>
  <c r="D16" i="9"/>
  <c r="G28" i="2"/>
  <c r="G29" i="2" s="1"/>
  <c r="G27" i="2"/>
  <c r="H14" i="2" l="1"/>
  <c r="Q12" i="3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H22" i="4"/>
  <c r="H21" i="4"/>
  <c r="H20" i="4"/>
  <c r="H19" i="4"/>
  <c r="H18" i="4"/>
  <c r="H15" i="4"/>
  <c r="H14" i="4"/>
  <c r="H13" i="4"/>
  <c r="H12" i="4"/>
  <c r="H11" i="4"/>
  <c r="H10" i="4"/>
  <c r="H9" i="4"/>
  <c r="H8" i="4"/>
  <c r="H7" i="4"/>
  <c r="H6" i="4"/>
  <c r="N41" i="1" l="1"/>
  <c r="N40" i="1"/>
  <c r="N38" i="1"/>
  <c r="N37" i="1"/>
  <c r="N36" i="1"/>
  <c r="N35" i="1"/>
  <c r="N34" i="1"/>
  <c r="N33" i="1"/>
  <c r="N32" i="1"/>
  <c r="N31" i="1"/>
  <c r="N30" i="1"/>
  <c r="N26" i="1"/>
  <c r="N22" i="1"/>
  <c r="N21" i="1"/>
  <c r="N20" i="1"/>
  <c r="N19" i="1"/>
  <c r="N17" i="1"/>
  <c r="N16" i="1"/>
  <c r="N100" i="1" l="1"/>
  <c r="K100" i="1"/>
  <c r="K99" i="1"/>
  <c r="N98" i="1"/>
  <c r="K98" i="1"/>
  <c r="L98" i="1" l="1"/>
  <c r="L100" i="1"/>
  <c r="L99" i="1"/>
  <c r="N97" i="1"/>
  <c r="N96" i="1"/>
  <c r="K97" i="1"/>
  <c r="K96" i="1"/>
  <c r="N94" i="1"/>
  <c r="N93" i="1"/>
  <c r="N92" i="1"/>
  <c r="N91" i="1"/>
  <c r="N47" i="1"/>
  <c r="N46" i="1"/>
  <c r="L96" i="1" l="1"/>
  <c r="L97" i="1"/>
  <c r="N71" i="1"/>
  <c r="N70" i="1"/>
  <c r="N68" i="1"/>
  <c r="N65" i="1" l="1"/>
  <c r="N63" i="1"/>
  <c r="N60" i="1"/>
  <c r="K65" i="1"/>
  <c r="L65" i="1" s="1"/>
  <c r="K63" i="1"/>
  <c r="L63" i="1" s="1"/>
  <c r="P65" i="1" l="1"/>
  <c r="P63" i="1"/>
  <c r="P59" i="1"/>
  <c r="K59" i="1"/>
  <c r="L59" i="1" s="1"/>
  <c r="K6" i="1" l="1"/>
  <c r="L6" i="1" s="1"/>
  <c r="K8" i="1"/>
  <c r="L8" i="1" s="1"/>
  <c r="G18" i="6" l="1"/>
  <c r="G24" i="4" s="1"/>
  <c r="H24" i="4" s="1"/>
  <c r="E38" i="4" s="1"/>
  <c r="G17" i="6"/>
  <c r="G23" i="4" s="1"/>
  <c r="H23" i="4" s="1"/>
  <c r="G16" i="6"/>
  <c r="N35" i="3" s="1"/>
  <c r="G15" i="6"/>
  <c r="M35" i="3" s="1"/>
  <c r="G14" i="6"/>
  <c r="L35" i="3" s="1"/>
  <c r="G13" i="6"/>
  <c r="K35" i="3" s="1"/>
  <c r="G12" i="6"/>
  <c r="J35" i="3" s="1"/>
  <c r="G11" i="6"/>
  <c r="I35" i="3" s="1"/>
  <c r="G10" i="6"/>
  <c r="H35" i="3" s="1"/>
  <c r="G9" i="6"/>
  <c r="G35" i="3" s="1"/>
  <c r="G8" i="6"/>
  <c r="F35" i="3" s="1"/>
  <c r="G7" i="6"/>
  <c r="E35" i="3" s="1"/>
  <c r="E40" i="4" l="1"/>
  <c r="D40" i="9" s="1"/>
  <c r="D7" i="9"/>
  <c r="O35" i="3"/>
  <c r="D37" i="9"/>
  <c r="E42" i="4"/>
  <c r="P35" i="3"/>
  <c r="F7" i="3"/>
  <c r="G7" i="3" s="1"/>
  <c r="M24" i="3" l="1"/>
  <c r="E24" i="3"/>
  <c r="M23" i="3"/>
  <c r="E23" i="3"/>
  <c r="M22" i="3"/>
  <c r="I22" i="3"/>
  <c r="E22" i="3"/>
  <c r="M21" i="3"/>
  <c r="I21" i="3"/>
  <c r="E21" i="3"/>
  <c r="M20" i="3"/>
  <c r="E20" i="3"/>
  <c r="O24" i="3"/>
  <c r="O23" i="3"/>
  <c r="O22" i="3"/>
  <c r="K22" i="3"/>
  <c r="G22" i="3"/>
  <c r="O21" i="3"/>
  <c r="K21" i="3"/>
  <c r="G21" i="3"/>
  <c r="O20" i="3"/>
  <c r="K20" i="3"/>
  <c r="N24" i="3"/>
  <c r="N23" i="3"/>
  <c r="N22" i="3"/>
  <c r="J22" i="3"/>
  <c r="N21" i="3"/>
  <c r="J21" i="3"/>
  <c r="F21" i="3"/>
  <c r="N20" i="3"/>
  <c r="F20" i="3"/>
  <c r="P24" i="3"/>
  <c r="P23" i="3"/>
  <c r="L23" i="3"/>
  <c r="P22" i="3"/>
  <c r="L22" i="3"/>
  <c r="H22" i="3"/>
  <c r="P21" i="3"/>
  <c r="L21" i="3"/>
  <c r="H21" i="3"/>
  <c r="P20" i="3"/>
  <c r="L20" i="3"/>
  <c r="P88" i="1"/>
  <c r="P83" i="1"/>
  <c r="P82" i="1"/>
  <c r="P74" i="1"/>
  <c r="P73" i="1"/>
  <c r="P72" i="1"/>
  <c r="P71" i="1"/>
  <c r="P70" i="1"/>
  <c r="P69" i="1"/>
  <c r="P68" i="1"/>
  <c r="P67" i="1"/>
  <c r="P66" i="1"/>
  <c r="P60" i="1"/>
  <c r="P58" i="1"/>
  <c r="P55" i="1"/>
  <c r="P54" i="1"/>
  <c r="P11" i="1"/>
  <c r="P10" i="1"/>
  <c r="P9" i="1"/>
  <c r="P7" i="1"/>
  <c r="H8" i="8" l="1"/>
  <c r="D3" i="9"/>
  <c r="D13" i="9"/>
  <c r="D4" i="9"/>
  <c r="D24" i="9"/>
  <c r="D5" i="9"/>
  <c r="D30" i="9"/>
  <c r="H9" i="8"/>
  <c r="G9" i="2"/>
  <c r="F9" i="2"/>
  <c r="Q21" i="3"/>
  <c r="N45" i="1" l="1"/>
  <c r="N44" i="1"/>
  <c r="N43" i="1"/>
  <c r="N42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N18" i="1"/>
  <c r="K19" i="1"/>
  <c r="K18" i="1"/>
  <c r="K17" i="1"/>
  <c r="N15" i="1"/>
  <c r="N13" i="1"/>
  <c r="N12" i="1"/>
  <c r="K16" i="1"/>
  <c r="K15" i="1"/>
  <c r="K14" i="1"/>
  <c r="K13" i="1"/>
  <c r="K12" i="1"/>
  <c r="L20" i="1" l="1"/>
  <c r="L13" i="1"/>
  <c r="L18" i="1"/>
  <c r="L21" i="1"/>
  <c r="L25" i="1"/>
  <c r="L29" i="1"/>
  <c r="L33" i="1"/>
  <c r="L37" i="1"/>
  <c r="L41" i="1"/>
  <c r="L45" i="1"/>
  <c r="L16" i="1"/>
  <c r="L24" i="1"/>
  <c r="L32" i="1"/>
  <c r="L36" i="1"/>
  <c r="L40" i="1"/>
  <c r="L44" i="1"/>
  <c r="L15" i="1"/>
  <c r="L23" i="1"/>
  <c r="L27" i="1"/>
  <c r="L31" i="1"/>
  <c r="L35" i="1"/>
  <c r="L39" i="1"/>
  <c r="L43" i="1"/>
  <c r="L17" i="1"/>
  <c r="L28" i="1"/>
  <c r="L14" i="1"/>
  <c r="L19" i="1"/>
  <c r="L22" i="1"/>
  <c r="L26" i="1"/>
  <c r="L30" i="1"/>
  <c r="L34" i="1"/>
  <c r="L38" i="1"/>
  <c r="L42" i="1"/>
  <c r="L12" i="1"/>
  <c r="K95" i="1"/>
  <c r="K94" i="1"/>
  <c r="N95" i="1"/>
  <c r="K93" i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4" i="1"/>
  <c r="L64" i="1" s="1"/>
  <c r="K62" i="1"/>
  <c r="L62" i="1" s="1"/>
  <c r="K61" i="1"/>
  <c r="L61" i="1" s="1"/>
  <c r="K60" i="1"/>
  <c r="L60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K52" i="1"/>
  <c r="K51" i="1"/>
  <c r="K50" i="1"/>
  <c r="K49" i="1"/>
  <c r="K48" i="1"/>
  <c r="K47" i="1"/>
  <c r="K46" i="1"/>
  <c r="K11" i="1"/>
  <c r="L11" i="1" s="1"/>
  <c r="K10" i="1"/>
  <c r="L10" i="1" s="1"/>
  <c r="K9" i="1"/>
  <c r="L9" i="1" s="1"/>
  <c r="K7" i="1"/>
  <c r="L7" i="1" s="1"/>
  <c r="K92" i="1"/>
  <c r="K91" i="1"/>
  <c r="L49" i="1" l="1"/>
  <c r="L51" i="1"/>
  <c r="L46" i="1"/>
  <c r="L50" i="1"/>
  <c r="L94" i="1"/>
  <c r="L92" i="1"/>
  <c r="L91" i="1"/>
  <c r="L48" i="1"/>
  <c r="L52" i="1"/>
  <c r="L93" i="1"/>
  <c r="L47" i="1"/>
  <c r="L95" i="1"/>
  <c r="L53" i="1"/>
  <c r="C32" i="3"/>
  <c r="C31" i="3"/>
  <c r="C30" i="3"/>
  <c r="C29" i="3"/>
  <c r="C28" i="3"/>
  <c r="D7" i="2" l="1"/>
  <c r="G7" i="2"/>
  <c r="D10" i="2"/>
  <c r="E10" i="2"/>
  <c r="F10" i="2"/>
  <c r="F13" i="3"/>
  <c r="F15" i="3"/>
  <c r="F24" i="3" s="1"/>
  <c r="F14" i="3"/>
  <c r="F23" i="3" s="1"/>
  <c r="P36" i="3"/>
  <c r="O36" i="3"/>
  <c r="N36" i="3"/>
  <c r="M36" i="3"/>
  <c r="L36" i="3"/>
  <c r="K36" i="3"/>
  <c r="J36" i="3"/>
  <c r="I36" i="3"/>
  <c r="H36" i="3"/>
  <c r="G36" i="3"/>
  <c r="F36" i="3"/>
  <c r="E36" i="3"/>
  <c r="E32" i="3" l="1"/>
  <c r="E31" i="3"/>
  <c r="E30" i="3"/>
  <c r="E29" i="3"/>
  <c r="E28" i="3"/>
  <c r="I30" i="3"/>
  <c r="O20" i="1" s="1"/>
  <c r="I29" i="3"/>
  <c r="M32" i="3"/>
  <c r="M31" i="3"/>
  <c r="M30" i="3"/>
  <c r="M29" i="3"/>
  <c r="M28" i="3"/>
  <c r="G30" i="3"/>
  <c r="G29" i="3"/>
  <c r="K30" i="3"/>
  <c r="K29" i="3"/>
  <c r="K28" i="3"/>
  <c r="O32" i="3"/>
  <c r="O31" i="3"/>
  <c r="O30" i="3"/>
  <c r="O29" i="3"/>
  <c r="O28" i="3"/>
  <c r="H30" i="3"/>
  <c r="H29" i="3"/>
  <c r="L31" i="3"/>
  <c r="L30" i="3"/>
  <c r="L29" i="3"/>
  <c r="L28" i="3"/>
  <c r="P28" i="3"/>
  <c r="P32" i="3"/>
  <c r="P31" i="3"/>
  <c r="P30" i="3"/>
  <c r="P29" i="3"/>
  <c r="F32" i="3"/>
  <c r="F31" i="3"/>
  <c r="F29" i="3"/>
  <c r="F28" i="3"/>
  <c r="J30" i="3"/>
  <c r="J29" i="3"/>
  <c r="N32" i="3"/>
  <c r="N31" i="3"/>
  <c r="N30" i="3"/>
  <c r="N29" i="3"/>
  <c r="N28" i="3"/>
  <c r="Q13" i="3"/>
  <c r="F22" i="3"/>
  <c r="Q22" i="3" s="1"/>
  <c r="G14" i="3"/>
  <c r="G15" i="3"/>
  <c r="G11" i="3"/>
  <c r="G20" i="3" s="1"/>
  <c r="D9" i="2" s="1"/>
  <c r="F16" i="4"/>
  <c r="O42" i="1" l="1"/>
  <c r="O41" i="1"/>
  <c r="O40" i="1"/>
  <c r="O45" i="1"/>
  <c r="O43" i="1"/>
  <c r="O39" i="1"/>
  <c r="O44" i="1"/>
  <c r="O46" i="1"/>
  <c r="O47" i="1"/>
  <c r="O25" i="1"/>
  <c r="O24" i="1"/>
  <c r="O23" i="1"/>
  <c r="O26" i="1"/>
  <c r="O22" i="1"/>
  <c r="O21" i="1"/>
  <c r="O31" i="1"/>
  <c r="O30" i="1"/>
  <c r="O29" i="1"/>
  <c r="O28" i="1"/>
  <c r="O33" i="1"/>
  <c r="O27" i="1"/>
  <c r="O32" i="1"/>
  <c r="O36" i="1"/>
  <c r="O37" i="1"/>
  <c r="O35" i="1"/>
  <c r="O34" i="1"/>
  <c r="O38" i="1"/>
  <c r="O96" i="1"/>
  <c r="O97" i="1"/>
  <c r="O95" i="1"/>
  <c r="O94" i="1"/>
  <c r="O49" i="1"/>
  <c r="O50" i="1"/>
  <c r="O51" i="1"/>
  <c r="O48" i="1"/>
  <c r="O92" i="1"/>
  <c r="O91" i="1"/>
  <c r="O93" i="1"/>
  <c r="O19" i="1"/>
  <c r="O17" i="1"/>
  <c r="O18" i="1"/>
  <c r="F30" i="3"/>
  <c r="G28" i="3"/>
  <c r="H15" i="3"/>
  <c r="G24" i="3"/>
  <c r="G32" i="3" s="1"/>
  <c r="H14" i="3"/>
  <c r="G23" i="3"/>
  <c r="G31" i="3" s="1"/>
  <c r="F17" i="4"/>
  <c r="H17" i="4" s="1"/>
  <c r="H16" i="4"/>
  <c r="H11" i="3"/>
  <c r="H20" i="3" s="1"/>
  <c r="O79" i="1"/>
  <c r="O61" i="1"/>
  <c r="O14" i="1" l="1"/>
  <c r="O12" i="1"/>
  <c r="O15" i="1"/>
  <c r="O13" i="1"/>
  <c r="O16" i="1"/>
  <c r="D6" i="9"/>
  <c r="D8" i="9" s="1"/>
  <c r="D38" i="4"/>
  <c r="D40" i="4"/>
  <c r="D41" i="4"/>
  <c r="D39" i="4"/>
  <c r="H28" i="3"/>
  <c r="P79" i="1"/>
  <c r="P61" i="1"/>
  <c r="H25" i="4"/>
  <c r="G10" i="2"/>
  <c r="H10" i="2" s="1"/>
  <c r="I15" i="3"/>
  <c r="H24" i="3"/>
  <c r="H32" i="3" s="1"/>
  <c r="I14" i="3"/>
  <c r="H23" i="3"/>
  <c r="H31" i="3" s="1"/>
  <c r="O98" i="1" s="1"/>
  <c r="I11" i="3"/>
  <c r="I20" i="3" s="1"/>
  <c r="I28" i="3" s="1"/>
  <c r="J11" i="3" l="1"/>
  <c r="J20" i="3" s="1"/>
  <c r="D34" i="9"/>
  <c r="F40" i="4"/>
  <c r="I8" i="8" s="1"/>
  <c r="D35" i="9"/>
  <c r="D32" i="9"/>
  <c r="F39" i="4"/>
  <c r="I7" i="8" s="1"/>
  <c r="D31" i="9"/>
  <c r="F38" i="4"/>
  <c r="D42" i="4"/>
  <c r="D36" i="9"/>
  <c r="F41" i="4"/>
  <c r="I9" i="8" s="1"/>
  <c r="E7" i="2"/>
  <c r="H6" i="8"/>
  <c r="F7" i="2"/>
  <c r="H7" i="8"/>
  <c r="J14" i="3"/>
  <c r="I23" i="3"/>
  <c r="I31" i="3" s="1"/>
  <c r="J15" i="3"/>
  <c r="I24" i="3"/>
  <c r="I32" i="3" s="1"/>
  <c r="Q11" i="3"/>
  <c r="P20" i="1"/>
  <c r="D43" i="9" l="1"/>
  <c r="F42" i="4"/>
  <c r="I6" i="8"/>
  <c r="I10" i="8" s="1"/>
  <c r="H7" i="2"/>
  <c r="H10" i="8"/>
  <c r="Q20" i="3"/>
  <c r="J28" i="3"/>
  <c r="E9" i="2"/>
  <c r="H9" i="2" s="1"/>
  <c r="K15" i="3"/>
  <c r="J24" i="3"/>
  <c r="J32" i="3" s="1"/>
  <c r="K14" i="3"/>
  <c r="J23" i="3"/>
  <c r="J31" i="3" s="1"/>
  <c r="P96" i="1"/>
  <c r="P98" i="1"/>
  <c r="P97" i="1"/>
  <c r="P23" i="1"/>
  <c r="P15" i="1"/>
  <c r="P38" i="1"/>
  <c r="P26" i="1"/>
  <c r="P94" i="1"/>
  <c r="P16" i="1"/>
  <c r="P91" i="1"/>
  <c r="P34" i="1"/>
  <c r="P37" i="1"/>
  <c r="P40" i="1"/>
  <c r="P18" i="1"/>
  <c r="P32" i="1"/>
  <c r="P25" i="1"/>
  <c r="P12" i="1"/>
  <c r="P35" i="1"/>
  <c r="P44" i="1"/>
  <c r="P42" i="1"/>
  <c r="P33" i="1"/>
  <c r="P30" i="1"/>
  <c r="P95" i="1"/>
  <c r="P92" i="1"/>
  <c r="P24" i="1"/>
  <c r="P22" i="1"/>
  <c r="P13" i="1"/>
  <c r="P14" i="1"/>
  <c r="P93" i="1"/>
  <c r="P36" i="1"/>
  <c r="P45" i="1"/>
  <c r="P41" i="1"/>
  <c r="P17" i="1"/>
  <c r="P28" i="1"/>
  <c r="P29" i="1"/>
  <c r="P47" i="1"/>
  <c r="P21" i="1"/>
  <c r="P39" i="1"/>
  <c r="P43" i="1"/>
  <c r="P19" i="1"/>
  <c r="P31" i="1"/>
  <c r="P27" i="1"/>
  <c r="P46" i="1"/>
  <c r="F8" i="8" l="1"/>
  <c r="F9" i="8"/>
  <c r="F7" i="8"/>
  <c r="F6" i="8"/>
  <c r="D8" i="8"/>
  <c r="G8" i="8" s="1"/>
  <c r="J8" i="8" s="1"/>
  <c r="D7" i="8"/>
  <c r="E8" i="2"/>
  <c r="E11" i="2" s="1"/>
  <c r="E13" i="2" s="1"/>
  <c r="E27" i="2" s="1"/>
  <c r="E28" i="2" s="1"/>
  <c r="D8" i="2"/>
  <c r="G8" i="2"/>
  <c r="G11" i="2" s="1"/>
  <c r="G13" i="2" s="1"/>
  <c r="L15" i="3"/>
  <c r="Q15" i="3" s="1"/>
  <c r="K24" i="3"/>
  <c r="K32" i="3" s="1"/>
  <c r="K23" i="3"/>
  <c r="Q14" i="3"/>
  <c r="G7" i="8" l="1"/>
  <c r="J7" i="8" s="1"/>
  <c r="D11" i="2"/>
  <c r="D13" i="2" s="1"/>
  <c r="D27" i="2" s="1"/>
  <c r="D28" i="2" s="1"/>
  <c r="F10" i="8"/>
  <c r="Q23" i="3"/>
  <c r="K31" i="3"/>
  <c r="E15" i="2"/>
  <c r="L24" i="3"/>
  <c r="O99" i="1" l="1"/>
  <c r="O100" i="1"/>
  <c r="O52" i="1"/>
  <c r="P52" i="1" s="1"/>
  <c r="O53" i="1"/>
  <c r="P53" i="1" s="1"/>
  <c r="P49" i="1"/>
  <c r="P48" i="1"/>
  <c r="P51" i="1"/>
  <c r="P50" i="1"/>
  <c r="E29" i="2"/>
  <c r="E30" i="2" s="1"/>
  <c r="D15" i="2"/>
  <c r="Q24" i="3"/>
  <c r="L32" i="3"/>
  <c r="P99" i="1"/>
  <c r="G15" i="2"/>
  <c r="G30" i="2"/>
  <c r="P100" i="1"/>
  <c r="D9" i="8" l="1"/>
  <c r="G9" i="8" s="1"/>
  <c r="J9" i="8" s="1"/>
  <c r="D6" i="8"/>
  <c r="G6" i="8" s="1"/>
  <c r="J6" i="8" s="1"/>
  <c r="F8" i="2"/>
  <c r="H8" i="2" s="1"/>
  <c r="G31" i="2"/>
  <c r="G35" i="2"/>
  <c r="G32" i="2"/>
  <c r="G33" i="2" s="1"/>
  <c r="E35" i="2"/>
  <c r="E32" i="2"/>
  <c r="E31" i="2"/>
  <c r="P4" i="1"/>
  <c r="G10" i="8" l="1"/>
  <c r="J10" i="8" s="1"/>
  <c r="D10" i="8"/>
  <c r="E33" i="2"/>
  <c r="E34" i="2" s="1"/>
  <c r="E36" i="2" s="1"/>
  <c r="E18" i="2" s="1"/>
  <c r="E19" i="2" s="1"/>
  <c r="F11" i="2"/>
  <c r="H11" i="2" s="1"/>
  <c r="D29" i="2"/>
  <c r="D30" i="2" s="1"/>
  <c r="G34" i="2"/>
  <c r="G36" i="2" s="1"/>
  <c r="G17" i="2" s="1"/>
  <c r="G18" i="2" s="1"/>
  <c r="G19" i="2" s="1"/>
  <c r="F13" i="2" l="1"/>
  <c r="F27" i="2" s="1"/>
  <c r="F28" i="2" s="1"/>
  <c r="D35" i="2"/>
  <c r="D32" i="2"/>
  <c r="D31" i="2"/>
  <c r="H13" i="2" l="1"/>
  <c r="F15" i="2"/>
  <c r="H15" i="2" s="1"/>
  <c r="D33" i="2"/>
  <c r="D34" i="2" s="1"/>
  <c r="D36" i="2" s="1"/>
  <c r="D18" i="2" s="1"/>
  <c r="D19" i="2" s="1"/>
  <c r="F29" i="2"/>
  <c r="F30" i="2" s="1"/>
  <c r="F31" i="2" l="1"/>
  <c r="F32" i="2"/>
  <c r="F35" i="2"/>
  <c r="F33" i="2" l="1"/>
  <c r="F34" i="2" s="1"/>
  <c r="F36" i="2" s="1"/>
  <c r="H17" i="2" s="1"/>
  <c r="F18" i="2" l="1"/>
  <c r="F19" i="2" s="1"/>
  <c r="H19" i="2" s="1"/>
  <c r="H18" i="2" l="1"/>
</calcChain>
</file>

<file path=xl/sharedStrings.xml><?xml version="1.0" encoding="utf-8"?>
<sst xmlns="http://schemas.openxmlformats.org/spreadsheetml/2006/main" count="1596" uniqueCount="380">
  <si>
    <t>Estabilidade</t>
  </si>
  <si>
    <t>PROJETO</t>
  </si>
  <si>
    <t>SUB PROJETO</t>
  </si>
  <si>
    <t>Fórmula</t>
  </si>
  <si>
    <t>PRODUTO</t>
  </si>
  <si>
    <t>Diamax</t>
  </si>
  <si>
    <t>DATA</t>
  </si>
  <si>
    <t>Luciana Dutra</t>
  </si>
  <si>
    <t>ATIVIDADE</t>
  </si>
  <si>
    <t>Análise ML</t>
  </si>
  <si>
    <t>NATUREZA</t>
  </si>
  <si>
    <t>MEDIDA</t>
  </si>
  <si>
    <t>Hora</t>
  </si>
  <si>
    <t>UNITÁRIO</t>
  </si>
  <si>
    <t>TOTAL</t>
  </si>
  <si>
    <t>QTD</t>
  </si>
  <si>
    <t>Trophic Fiber</t>
  </si>
  <si>
    <t>RECURSO</t>
  </si>
  <si>
    <t>Melhoria de produto</t>
  </si>
  <si>
    <t>Petit Max</t>
  </si>
  <si>
    <t>Trophic Bio</t>
  </si>
  <si>
    <t>Embalagem</t>
  </si>
  <si>
    <t>Material</t>
  </si>
  <si>
    <t>Unidade</t>
  </si>
  <si>
    <t>Larissa</t>
  </si>
  <si>
    <t>Emplas</t>
  </si>
  <si>
    <t>Nitrogênio</t>
  </si>
  <si>
    <t>KOH - Energyzip BG</t>
  </si>
  <si>
    <t>Shelf Life</t>
  </si>
  <si>
    <t>Érica Serra</t>
  </si>
  <si>
    <t>Teste piloto - ITAL</t>
  </si>
  <si>
    <t>KOH - Protocolo PF</t>
  </si>
  <si>
    <t>Terceiros</t>
  </si>
  <si>
    <t>Alimentação</t>
  </si>
  <si>
    <t>Refeição na data da viagem</t>
  </si>
  <si>
    <t>Estadia</t>
  </si>
  <si>
    <t>Diária</t>
  </si>
  <si>
    <t>Translado</t>
  </si>
  <si>
    <t>KOH - Renalmax</t>
  </si>
  <si>
    <t>KOH - Trophic 1.5</t>
  </si>
  <si>
    <t>KOH - Trophic Basic</t>
  </si>
  <si>
    <t>Teste KOH</t>
  </si>
  <si>
    <t>Diversos</t>
  </si>
  <si>
    <t>Material para teste</t>
  </si>
  <si>
    <t>Serviço</t>
  </si>
  <si>
    <t>Sensorial</t>
  </si>
  <si>
    <t>Trophic Infant</t>
  </si>
  <si>
    <t>Trecho</t>
  </si>
  <si>
    <t>Ibis Budgte</t>
  </si>
  <si>
    <t>Estadia para acompanhamento de desenvolvimento</t>
  </si>
  <si>
    <t>Curso</t>
  </si>
  <si>
    <t>Novas matérias prima</t>
  </si>
  <si>
    <t>Macronutrientes</t>
  </si>
  <si>
    <t>Gordura</t>
  </si>
  <si>
    <t>Análise Laboratorial</t>
  </si>
  <si>
    <t>Carboidrato - Globe 18</t>
  </si>
  <si>
    <t>Carboidrato - Maltogill</t>
  </si>
  <si>
    <t>Amostra</t>
  </si>
  <si>
    <t>Análise</t>
  </si>
  <si>
    <t>Proteína - Caseinato de Calcio</t>
  </si>
  <si>
    <t>Proteína - Isolada de Soja</t>
  </si>
  <si>
    <t>Micronutrintes</t>
  </si>
  <si>
    <t>Minerais - Nutrix</t>
  </si>
  <si>
    <t>Vitaminas - Cassab</t>
  </si>
  <si>
    <t>Novo Copack</t>
  </si>
  <si>
    <t>Produto Líquido</t>
  </si>
  <si>
    <t>Castrolanda</t>
  </si>
  <si>
    <t>Oleo de Canôla</t>
  </si>
  <si>
    <t>Oleo de milho</t>
  </si>
  <si>
    <t>Teste piloto</t>
  </si>
  <si>
    <t>Vera Moura</t>
  </si>
  <si>
    <t>Novos produtos</t>
  </si>
  <si>
    <t>Energyzip 1.0</t>
  </si>
  <si>
    <t>Obesidade Bariatrica</t>
  </si>
  <si>
    <t>Suplemento em pó</t>
  </si>
  <si>
    <t>Piloto</t>
  </si>
  <si>
    <t>Tetra Pak</t>
  </si>
  <si>
    <t>Acompanhamento de desenvolvimento</t>
  </si>
  <si>
    <t>Lanche</t>
  </si>
  <si>
    <t>Congresso - ILSI</t>
  </si>
  <si>
    <t>Congresso - SBNPE</t>
  </si>
  <si>
    <t>Trophic Soya</t>
  </si>
  <si>
    <t>Translado até o curso</t>
  </si>
  <si>
    <t>TAM</t>
  </si>
  <si>
    <t>Taxi</t>
  </si>
  <si>
    <t>Insumos</t>
  </si>
  <si>
    <t>Lote piloto</t>
  </si>
  <si>
    <t>Acompanhar teste</t>
  </si>
  <si>
    <t>Acompanhar teste 3</t>
  </si>
  <si>
    <t>Teste piloto - 3</t>
  </si>
  <si>
    <t xml:space="preserve">Acompanhar teste 3 (ida) </t>
  </si>
  <si>
    <t>Acompanhar teste 3 (volta)</t>
  </si>
  <si>
    <t>FEPA</t>
  </si>
  <si>
    <t>Análises diversas</t>
  </si>
  <si>
    <t>Total</t>
  </si>
  <si>
    <t>Natureza</t>
  </si>
  <si>
    <t>PRODIET NUTRIÇÃO LTDA.</t>
  </si>
  <si>
    <t>INOVAÇÃO TECNOLÓGICA 2013</t>
  </si>
  <si>
    <t>INSS</t>
  </si>
  <si>
    <t>FGTS</t>
  </si>
  <si>
    <t>Férias</t>
  </si>
  <si>
    <t>13º</t>
  </si>
  <si>
    <t>PRODIET NUTRIÇÃO</t>
  </si>
  <si>
    <t>Mês</t>
  </si>
  <si>
    <t>Exclusão Base de Cálculo</t>
  </si>
  <si>
    <t>Salário Bruto</t>
  </si>
  <si>
    <t>Dias Úteis</t>
  </si>
  <si>
    <t>Horas Úteis</t>
  </si>
  <si>
    <t>Encargos sobre folha</t>
  </si>
  <si>
    <t>Terceiro</t>
  </si>
  <si>
    <t>Teste ITAL</t>
  </si>
  <si>
    <t>Medir residual de %O2</t>
  </si>
  <si>
    <t>Micronutrientes</t>
  </si>
  <si>
    <t>reunião DSM</t>
  </si>
  <si>
    <t>Felipe Chavita</t>
  </si>
  <si>
    <t>Obesidade Bariátrica</t>
  </si>
  <si>
    <t>Suplementos em pó</t>
  </si>
  <si>
    <t>Trophic 1.5</t>
  </si>
  <si>
    <t>Energyzip Morango</t>
  </si>
  <si>
    <t>Energyzip Fiber Chocolate</t>
  </si>
  <si>
    <t>Trophic Basic - Castrolanda</t>
  </si>
  <si>
    <t>Teste Ittal - Pesagem dos produtos</t>
  </si>
  <si>
    <t>Energyzip 1.0 - 879</t>
  </si>
  <si>
    <t>Teste de estabilidade</t>
  </si>
  <si>
    <t>Pesagem e teste de componetes mix 8789</t>
  </si>
  <si>
    <t>Trophic Basic - PIS</t>
  </si>
  <si>
    <t>Controle em Shelf Life</t>
  </si>
  <si>
    <t>Trophic Basic - Caseinato Ca CC902i</t>
  </si>
  <si>
    <t>Trophic Fiber - Fibrim 1270</t>
  </si>
  <si>
    <t>Trophic Basic-Castrolanda</t>
  </si>
  <si>
    <t>Trophic Basic</t>
  </si>
  <si>
    <t>Trophic EP</t>
  </si>
  <si>
    <t>Estabilidade de pH</t>
  </si>
  <si>
    <t>Energyzip BG</t>
  </si>
  <si>
    <t>Renalmax</t>
  </si>
  <si>
    <t>Trophic 1.5 - 58G18</t>
  </si>
  <si>
    <t>Trophic 1.5 - 58M20</t>
  </si>
  <si>
    <t>Energyzip 1.0 - 879 (Novo projeto - Erica inserir)</t>
  </si>
  <si>
    <t>Lucas Torteli</t>
  </si>
  <si>
    <t xml:space="preserve">Pesagem das 3OPs do teste Ital </t>
  </si>
  <si>
    <t>Horas Úteis - CWB</t>
  </si>
  <si>
    <t>Acompanhamento de desenvolvimento, testes de envase, matéria prima e textura.</t>
  </si>
  <si>
    <t>Dedicação</t>
  </si>
  <si>
    <t>Exclusiva</t>
  </si>
  <si>
    <t>Parcial</t>
  </si>
  <si>
    <t>Total 
Ano</t>
  </si>
  <si>
    <t>Identificar na amostra do Trophic Fiber qual  matéria-prima pode estar causando instabilidade</t>
  </si>
  <si>
    <t>Salário bruto e Custo Hora</t>
  </si>
  <si>
    <t>Terceiros envolvidos em inovação</t>
  </si>
  <si>
    <t>Investimentos</t>
  </si>
  <si>
    <t>Resumo de investimentos</t>
  </si>
  <si>
    <t>Estadia no Hotel Slavieiro - 2 diárias - Para acompanhamento do desenvolvimento do projeto</t>
  </si>
  <si>
    <t>Ana Celes</t>
  </si>
  <si>
    <t>Passagem aérea ida e volta de Rio de Janeiro-Curitiba pela Azul</t>
  </si>
  <si>
    <t>Passagem aérea ida e volta SPO-CWB pela Gol - Acompanhar desenvolvimento</t>
  </si>
  <si>
    <t>Paassagem aérea de ida Curitiba-Campinas - Teste Piloto de produto no ITAL – Instituto de Tecnologia de Alimentos. Campinas-SP. (AZUL)</t>
  </si>
  <si>
    <t>Paassagem aérea de volta Curitiba-Campinas - Teste Piloto de produto no ITAL – Instituto de Tecnologia de Alimentos. Campinas-SP.(AZUL)</t>
  </si>
  <si>
    <t>Fundação de Apoio a Univerdade de São Paulo FUSP</t>
  </si>
  <si>
    <t>CNPJ</t>
  </si>
  <si>
    <t>Prodiet</t>
  </si>
  <si>
    <t>Compra de livro no Instituto de Tecnologia de Alimentos para estudo</t>
  </si>
  <si>
    <t>Data</t>
  </si>
  <si>
    <t>Feriado</t>
  </si>
  <si>
    <t>Sexta-feira da Paixão</t>
  </si>
  <si>
    <t>Corpus Christi</t>
  </si>
  <si>
    <t>Nossa Senhora da Luz dos Pinhais</t>
  </si>
  <si>
    <t>Confraternização Universal</t>
  </si>
  <si>
    <t>Tiradentes</t>
  </si>
  <si>
    <t>Dia do Trabalho</t>
  </si>
  <si>
    <t>Independência do Brasil</t>
  </si>
  <si>
    <t>Nossa Senhora Aparecida</t>
  </si>
  <si>
    <t>Finados</t>
  </si>
  <si>
    <t>Proclamação da República</t>
  </si>
  <si>
    <t>Natal</t>
  </si>
  <si>
    <t>FERIADOS EM CURITIBA</t>
  </si>
  <si>
    <t>Dt. Inicial</t>
  </si>
  <si>
    <t>Dt. Final</t>
  </si>
  <si>
    <t>Dias úteis</t>
  </si>
  <si>
    <t>Total de Dias úteis por mês</t>
  </si>
  <si>
    <t>Identificar na amostra do Trophic Fiber e do Diamax  qual matéria-prima pode estar causando instabilidade</t>
  </si>
  <si>
    <t>Compra de produto concorrente para análise: NUTRISON SOYA 800 gr</t>
  </si>
  <si>
    <t>Compra de produto concorrente para análise: NUTRI ENTERAL SOYA 800gr</t>
  </si>
  <si>
    <t>Compra de produto concorrente para análise: NUTREN 1 O 400gr</t>
  </si>
  <si>
    <t>Teste de verificação da troca de embalagem no processo industrial da New Millen e da diminuição de head space. O objetivo não foi atingido. Para dar continuidade à pesquisa de melhoria de embalagem, é preciso adequação no selo de indução ao processo New Millen e diminuição da capacidade volumétrica.</t>
  </si>
  <si>
    <t>Documento</t>
  </si>
  <si>
    <t xml:space="preserve"> Serviços de Assessoria ou Consultoria - NF 6243</t>
  </si>
  <si>
    <t>Estadia no Hotel Bourbon - 3 diárias - Para acompanhamento do desenvolvimento do projeto</t>
  </si>
  <si>
    <t>Thaís Dallagrana</t>
  </si>
  <si>
    <t>Translado do aeroporto para a empresa</t>
  </si>
  <si>
    <t>Passagem de avião CWB - CGH ida em 29/10 e volta em 01/11</t>
  </si>
  <si>
    <t>Controle de produtos químicos - Pagamento de taxa da Polícia Federal</t>
  </si>
  <si>
    <t>Teste piloto - ITAL - Produção</t>
  </si>
  <si>
    <t>Teste piloto - ITAL - Teste de administração do produto</t>
  </si>
  <si>
    <t>Teste de administração do produto</t>
  </si>
  <si>
    <t>Teste de inserção de nitrogênio - O objetivo do teste foi validar processo de inserção de N2 em embalagens que armazenam produtos em pó nos produtos Prodiet no atual processo industrial da New Millen</t>
  </si>
  <si>
    <t>Erica e Thais</t>
  </si>
  <si>
    <t>Passagem aérea para Thais Dallagrana e Erica Serra - Ida em 10/09 e volta em 13/09 - CWB-CGH</t>
  </si>
  <si>
    <t>Utilização do Laboratório da PUC-PR para teste do produto</t>
  </si>
  <si>
    <t>Compra de produto concorrente para teste de bancada - Óleo de Canola</t>
  </si>
  <si>
    <t>Compra de produto concorrente para teste sensorial</t>
  </si>
  <si>
    <t>Teste de bancada em laboratório na PUC/PR</t>
  </si>
  <si>
    <t>Labor Três Laboratórios e Consultoria Técnica Ltda</t>
  </si>
  <si>
    <t>Análise de amostra nº 214765 - NF 22.222</t>
  </si>
  <si>
    <t>BIOAGRI Análises de Alimentos Ltda</t>
  </si>
  <si>
    <t>Teste de bancada em laboratório na PUC/PR - Recibo 1197</t>
  </si>
  <si>
    <t>Teste de bancada em laboratório na PUC/PR - Recibo 953</t>
  </si>
  <si>
    <t>VLL Moura Serviços de Apoio Administrativo</t>
  </si>
  <si>
    <t>Não tem nome do projeto principal na plan de controle</t>
  </si>
  <si>
    <t>Não tem lançamento de horas na plan de controle</t>
  </si>
  <si>
    <t>Reunião MCassab</t>
  </si>
  <si>
    <t>Aditivos</t>
  </si>
  <si>
    <t>12/83</t>
  </si>
  <si>
    <t>18/83</t>
  </si>
  <si>
    <t>19/83</t>
  </si>
  <si>
    <t>1/83</t>
  </si>
  <si>
    <t>2/83</t>
  </si>
  <si>
    <t>Passagem aérea SPO-CWB  - Para acompanhamento do desenvolvimento do projeto</t>
  </si>
  <si>
    <t>22/83</t>
  </si>
  <si>
    <t>21/83</t>
  </si>
  <si>
    <t>Teste de administração por sonda do produto</t>
  </si>
  <si>
    <t>Teste de embalagem - Pote PET</t>
  </si>
  <si>
    <t>1 TRIM</t>
  </si>
  <si>
    <t>2 TRIM</t>
  </si>
  <si>
    <t>3 TRIM</t>
  </si>
  <si>
    <t>4 TRIM</t>
  </si>
  <si>
    <t>Trimestre</t>
  </si>
  <si>
    <t>Material para teste - Hidróxido de Potássio</t>
  </si>
  <si>
    <t>18.390.865/0001-77</t>
  </si>
  <si>
    <t>03.150.501/0001-42</t>
  </si>
  <si>
    <t>Cursos análise sensorial realizado por Duas Rodas Industrial Ltda</t>
  </si>
  <si>
    <t>Passagem rodoviária de Ida e Volta de Cutitiba-Jaraguá do Sul para participação no Curso Análise sensorial</t>
  </si>
  <si>
    <t>Inscrição no Congresso Brasileiro de Obesidade</t>
  </si>
  <si>
    <t>Material para estudo - Compra de livro no Congresso Brasileiro de Obesidade</t>
  </si>
  <si>
    <t>(a)</t>
  </si>
  <si>
    <t>Esse percentual foi decidido pela Ana Celes (Nutrimento). A informação veio por e-mail do Álvaro (doc 92)</t>
  </si>
  <si>
    <t>(b)</t>
  </si>
  <si>
    <t>A Érica Serra tem o cargo de Analista de P&amp;D. Foi nos enviado descrição de cargo (doc 93)</t>
  </si>
  <si>
    <t xml:space="preserve">(c) </t>
  </si>
  <si>
    <t xml:space="preserve">A Vera Moura passou a ser PJ (VLL Moura Serviços de Apoio Administrativo ). </t>
  </si>
  <si>
    <t>Nutrimento Gestão de Dados Empresariais Ltda.</t>
  </si>
  <si>
    <t>L Dutra Serviços ME</t>
  </si>
  <si>
    <t>18.337.175/0001-54</t>
  </si>
  <si>
    <t>Valor NF (R$)</t>
  </si>
  <si>
    <t>Proporção Inovação</t>
  </si>
  <si>
    <t>Valor Inovação</t>
  </si>
  <si>
    <t>A Luciana Dutra passou a ser PJ (LDUTRA) em setembro/2013. As notas fiscais foram enviadas pela PRODIET (doc 91)</t>
  </si>
  <si>
    <t>Quem?</t>
  </si>
  <si>
    <t>Percentual Exclusão</t>
  </si>
  <si>
    <t>Benefício Máximo</t>
  </si>
  <si>
    <t>IRPJ e CSLL com inovação</t>
  </si>
  <si>
    <t>IRPJ e CSLL antes Inovação</t>
  </si>
  <si>
    <t>RH (Parcial inovação)</t>
  </si>
  <si>
    <t>RH (Exclusivo inovação)</t>
  </si>
  <si>
    <t>(-) Compensação de Prejuízo</t>
  </si>
  <si>
    <t>(=) Base de cálculo do IRPJ</t>
  </si>
  <si>
    <t>IRPJ (15%)</t>
  </si>
  <si>
    <t>Adicional IR (10%)</t>
  </si>
  <si>
    <t>(-) PAT</t>
  </si>
  <si>
    <t>Total de IRPJ a pagar</t>
  </si>
  <si>
    <t>CSLL (9%)</t>
  </si>
  <si>
    <t>(-) Exclusão da Inovação</t>
  </si>
  <si>
    <t>(=) Lucro Real antes da Exclusão da Inovação</t>
  </si>
  <si>
    <t>(=) Lucro antes da compensção do prejuízo</t>
  </si>
  <si>
    <t>(=) Total de IRPJ/CSLL a pagar</t>
  </si>
  <si>
    <t>Confimado com Alexandre Velozo, via fone, que os funcionários trabalham 44 horas semanais.</t>
  </si>
  <si>
    <t>(d)</t>
  </si>
  <si>
    <t>(a) (b) (c)</t>
  </si>
  <si>
    <t>Cartão CNPJ - Doc 90</t>
  </si>
  <si>
    <t>(c)</t>
  </si>
  <si>
    <t>Valores retirados do cálculo por falta de comprovação</t>
  </si>
  <si>
    <t>Só tem cartão de embargue. Não tem comporvante de pagamento com valor da passagem</t>
  </si>
  <si>
    <t>OBS</t>
  </si>
  <si>
    <t>Erica Serra</t>
  </si>
  <si>
    <t>Translado - Avião - Teste piloto UHT ida</t>
  </si>
  <si>
    <t>Translado - Avião - Teste piloto UHT volta</t>
  </si>
  <si>
    <t>Congresso ILSI - Inscrição para participação em workshop sobre Propriedades funcionais dos alimentos</t>
  </si>
  <si>
    <t>Documento com 4 vouchers, mas são todos de empresa de taxi de curitiba incluindo o com o embarque em congonhas. Desclassifiquei a despesa</t>
  </si>
  <si>
    <t>DOC</t>
  </si>
  <si>
    <t>Inscrição no Congresso Brasileiro de Nutrição Parenteral e Enteral - SBNPE</t>
  </si>
  <si>
    <t>Translado até o curso - Passagem aérea da GOL</t>
  </si>
  <si>
    <t>Tranlado de ônibus entre aeroporto de congonhas e guarulhos</t>
  </si>
  <si>
    <t>Serviços de Assessoria ou Consultoria no teste piloto - NF 5230</t>
  </si>
  <si>
    <t>Não sei nem pq foi listado</t>
  </si>
  <si>
    <t>Serviços de Assessoria ou Consultoria no teste piloto - NF 6772</t>
  </si>
  <si>
    <t>Análise de característica - NF 18.858</t>
  </si>
  <si>
    <t>Análise de amostra - 28846.1/2013-0 NF 18.398</t>
  </si>
  <si>
    <t>Estadia Slaviero Suites</t>
  </si>
  <si>
    <t>A Vera foi desconsiderada para o Cálculo por ser apoio administrativo</t>
  </si>
  <si>
    <t xml:space="preserve">Passagem aérea </t>
  </si>
  <si>
    <t>Aluguel carro</t>
  </si>
  <si>
    <t>Material para teste - Compra de Oleo de Canôla para teste de produção</t>
  </si>
  <si>
    <t>Material para teste - Compra de Oleo de Milho para teste de produção</t>
  </si>
  <si>
    <t>Transfer em carro executivo entre Curitiba e Castro - Luciana Dutra e Vera Moura</t>
  </si>
  <si>
    <t>Desconsiderado valor com alimentação</t>
  </si>
  <si>
    <t>Passagem aérea para acompanhamento de teste 2 de piloto</t>
  </si>
  <si>
    <t>Análise de característica CA 21301 - NF 17.896</t>
  </si>
  <si>
    <t>Não tem lançamento de horas na plan de controle ou relatório que comprove que a viagem foi ligada a projeto de inovação</t>
  </si>
  <si>
    <t>Despesa de 2014</t>
  </si>
  <si>
    <t>Horas apontadas do Terceiro L Dutra Serviços ME</t>
  </si>
  <si>
    <t>Sem projeto</t>
  </si>
  <si>
    <t xml:space="preserve">Análise de embalagens - O fornecedor trouxe uma nova embalagem para teste com o objetivo de diminuir o head space e possibilidade de aplicação e retenção de nitrogênio </t>
  </si>
  <si>
    <t>Terceiro não considerado</t>
  </si>
  <si>
    <t>Lançamento incompleto na plan de controle</t>
  </si>
  <si>
    <t>Não tem lançamento de horas</t>
  </si>
  <si>
    <t>Não tem lançamento de horas. A Prodiet não respondeu para que serviu essa despesa</t>
  </si>
  <si>
    <t>Análise de amostra - CA 12370 a 12372 - NF 17.181</t>
  </si>
  <si>
    <t>Não encontrei documento com despesa</t>
  </si>
  <si>
    <t>Análise de amostras - NF 18.858</t>
  </si>
  <si>
    <t>Só tem o comprovante de reserva, não tem a nota com quanto foi realmente cobrado</t>
  </si>
  <si>
    <t>Não tem comprovante de pagamento de inscrição no curso</t>
  </si>
  <si>
    <t>Passagem aerea para acompanhamento de andamento de projeto e teste do produto</t>
  </si>
  <si>
    <t>Análise de características - NF 19.223</t>
  </si>
  <si>
    <t>Análise de amostra - 10483.1/2013-0 NF 17.008</t>
  </si>
  <si>
    <t>Análise de característica  para teste de validade de produto - NF 17.008</t>
  </si>
  <si>
    <t>Análise de característica - 18114.1 - NF 17.630</t>
  </si>
  <si>
    <t>Felipe Camargo Chavita</t>
  </si>
  <si>
    <t>Nome</t>
  </si>
  <si>
    <t>Apelido</t>
  </si>
  <si>
    <t>Larissa Suellen da Silva</t>
  </si>
  <si>
    <t>Vera Lucia Leite Moura</t>
  </si>
  <si>
    <t>Erica Ferreira Serra</t>
  </si>
  <si>
    <t>Benefício Líquido</t>
  </si>
  <si>
    <t>Honorário McBenner (10%)</t>
  </si>
  <si>
    <t>Salário Bruto com encargos</t>
  </si>
  <si>
    <t>Custo Hora com encargos</t>
  </si>
  <si>
    <t>Horas apontadas</t>
  </si>
  <si>
    <t>S</t>
  </si>
  <si>
    <t>Detalhamento da Apuração com exclusão de inovação</t>
  </si>
  <si>
    <t>Detalhamento da Apuração sem exclusão de inovação</t>
  </si>
  <si>
    <t>Lucro do Período</t>
  </si>
  <si>
    <t>(+) Total das Adições</t>
  </si>
  <si>
    <t>(-) Total das Exclusões antes da inovação</t>
  </si>
  <si>
    <t>Projeto</t>
  </si>
  <si>
    <t>Projetos</t>
  </si>
  <si>
    <t>Descrição</t>
  </si>
  <si>
    <t>Todos</t>
  </si>
  <si>
    <t>Melhoria de Produto | Estabilidade</t>
  </si>
  <si>
    <t>Valores ficaram para fora da fórmula e não foi entregue para cliente. Não considerar para Form</t>
  </si>
  <si>
    <t>RH (parcial inovação)</t>
  </si>
  <si>
    <t>RH (exclusivo)</t>
  </si>
  <si>
    <t>Soma de "RH (Parcial inovação)" da coluna "Natureza" da planilha Investimentos e Soma do Total da Érica multiplicado por uma proporção inventada por mim (e que nça foi pro cliente, pode trocar a vontade)</t>
  </si>
  <si>
    <t>Propoção Érica</t>
  </si>
  <si>
    <t>Total RH</t>
  </si>
  <si>
    <t>Soma de "Material" da coluna "Natureza" da planilha Investimentos</t>
  </si>
  <si>
    <t>Soma de "Terceiros" da coluna "Natureza" da planilha Investimentos + Soma dos valores da planilha de Terceiros</t>
  </si>
  <si>
    <t>Propoção Terceiros</t>
  </si>
  <si>
    <t>Todos. Mas lançar em um só pois o valor é muito baixo</t>
  </si>
  <si>
    <t>Obs: É terceiro a partir de set/13</t>
  </si>
  <si>
    <t>Consultoria para adaptação da embalagem tetrapak a certos produtos da empresa. São feitos diversos testes, com a assistência do terceiro, como teste de validade e rodar lote pilote. Ele acompanha e ajuda a ajustar as variáveis que envolvem o produto em si e o processo produtivo à nova embalagem.</t>
  </si>
  <si>
    <t>Faz análise laboratorial de amostras de produtos para verificar estabilidade de componentes e características finais</t>
  </si>
  <si>
    <t>Acompanha e faz teste nos produtos para validação de lote pilote, teste de validade do produto, teste de caracterísca e teste de de administração do produto final., visto que são pordutos de alimentação hospitalar, oral e domiciliar pós-internação</t>
  </si>
  <si>
    <t>Valor</t>
  </si>
  <si>
    <t>Estudo, pesquisa e desenvolvimento de novos produtos para agregar a gama de produtos da empresa. A equipe desenvolveu quatro produtos durante o ano de 2013: Obesidade Bariátrica, Suplemento em pó, Energyzip 1.0, Trophic Soya. O produto Obesidade Bariátrica é um suplemento para auxiliar na dieta de pessoas com obesidade mórbida no pré e no pós-operatório e é completamente novo para a empresa e ainda está em fase de testes da fórmula. O Suplemento em pó ainda está em fase de testes da formulação. É um produto que deve ter os nutrientes necessários a uma dieta de (...) e deve ser facilmente misturado a meio líquido e tornar-se homogêneo, sem decantar. O Energezyp 1.0 e o Trophic Soya já estão em fases de teste piloto e de validade de produto. Caso os produtos apresentem testes negativos, eles voltam para alteração de fórmula e novas análises de componentes em laboratório.</t>
  </si>
  <si>
    <t xml:space="preserve">Pesquisa de novos insumos para substituição dos existentes ou para inclusão de nova matéria-prima a produtos existentes, aumentando ou alterando nutrientes da formulação do produto. Diversos testes são necessários na troca ou inclusão de nova matéria-prima. Não é uma simples troca de fornecedor. São feitos análises em laboratório para testar como a nova matéria-prima se adapta a formulação e se não traz algum ponto negativo em relação à antiga formulação. Após análises em laboratório, é rodado teste piloto para teste de validade, composição final, sensorial e de administração do produto. Foram testatos os seguintes nutrientes no ano de 2013 em produtos diversos: Carboidrato Globe 18, Carboidrato Maltogill, Gordura, Proteína Caseinato de Cálcio, Proteína Isolada de Soja, Minerais Nutrix, Vitaminas. </t>
  </si>
  <si>
    <t>Faz testes laboratorias específicos solicitados pela Prodiet. São testes de análise de caracterísca de componente específico do produto e análise de validade do produto</t>
  </si>
  <si>
    <t>Analisa os testes dos produtos e dá assistência na parametrização do produto e dos novos testes a serem feitos. Faz acompanhamento técnico de todos os projetos de pesquisa e desenvolvimento.</t>
  </si>
  <si>
    <t>Foram feitas melhorias significativas em diversos produtos da empresa. As melhorias estão voltadas para aumentar a fluidez para sonda (administração por sonda); estabilidade de pH; embalagem; e melhoria sensorial (sabores e aromas, por exemplo) . Para uma gama de produtos foi testado trocar componente da fórmula atual, o que levou a uma série de testes de estabilidade do novo componente na fórmula, característica final do produto e teste de administração do produto. No desenvolvimento de embalagens devem ser analisados e testados diversos fatores por se tratarem de produtos alimentícios e hospitalares, como:   conservação do produto, enviolabilidade, manuseio seguro, reações de oxidação, contaminação microbiolágica, entre outros. Foram realizados testes de validade do produto na nova embalagem; produção de lote piloto; testes microbiológicos e análise da característica final do produto. A aplicação de novos ensaios em ingredientes, os ajustes de processos através de teste de interação de ingredientes, assim como as interferências de processos (mistura-hidratação, homogeneização, esterilização, textura) e análises (físico-química, microbiológica, administração e sensorial) foram analisados sob a ótica dos processos industriais e regulatórios aos quais cada produto é submetido. Algumas das linhas de produtos alteradas: Trophic, Energyzip, Renalmax.</t>
  </si>
  <si>
    <t>Desenvolvimento de produto junto aos parceiros de produção....</t>
  </si>
  <si>
    <t>61.528.030/0001-60</t>
  </si>
  <si>
    <t>02.021.076/0001-29</t>
  </si>
  <si>
    <t>00.000.410/0001-32</t>
  </si>
  <si>
    <t>Quadro de pessoal</t>
  </si>
  <si>
    <t>Recursos Humanos</t>
  </si>
  <si>
    <t>Total Valor Gasto</t>
  </si>
  <si>
    <t>Título</t>
  </si>
  <si>
    <t xml:space="preserve"> Valor Gasto</t>
  </si>
  <si>
    <t>Nº de Pessoas com Dedicação Exclusiva</t>
  </si>
  <si>
    <t xml:space="preserve">Nº de Pessoas com Dedicação Parcial </t>
  </si>
  <si>
    <t>Valor Gasto</t>
  </si>
  <si>
    <t>Doutores</t>
  </si>
  <si>
    <t>Mestres</t>
  </si>
  <si>
    <t>Graduados</t>
  </si>
  <si>
    <t>Técnico de nível médio</t>
  </si>
  <si>
    <t>Pós-Graduados</t>
  </si>
  <si>
    <t>Tecnólogo</t>
  </si>
  <si>
    <t>Valor despendido com funcionários de apoio técnico</t>
  </si>
  <si>
    <t>VALOR TOTAL DESPENDIDO EM RH</t>
  </si>
  <si>
    <t>ESCOLARIDADE</t>
  </si>
  <si>
    <t>Graduado</t>
  </si>
  <si>
    <t>Pós-Graduado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</si>
</sst>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#,##0.00_ ;\-#,##0.00\ "/>
  </numFmts>
  <fonts count="29" x14ac:knownFonts="1">
    <font>
      <sz val="12"/>
      <color theme="1"/>
      <name val="Garamond"/>
      <family val="2"/>
    </font>
    <font>
      <sz val="10"/>
      <color theme="1"/>
      <name val="Garamond"/>
      <family val="2"/>
    </font>
    <font>
      <sz val="12"/>
      <color theme="1"/>
      <name val="Garamond"/>
      <family val="2"/>
    </font>
    <font>
      <sz val="11"/>
      <color theme="1"/>
      <name val="Garamond"/>
      <family val="2"/>
    </font>
    <font>
      <sz val="10"/>
      <color theme="1"/>
      <name val="Garamond"/>
      <family val="2"/>
    </font>
    <font>
      <sz val="10"/>
      <color theme="1"/>
      <name val="Garamond"/>
      <family val="1"/>
    </font>
    <font>
      <sz val="11"/>
      <color theme="1"/>
      <name val="Garamond"/>
      <family val="1"/>
    </font>
    <font>
      <u/>
      <sz val="11"/>
      <color theme="10"/>
      <name val="Calibri"/>
      <family val="2"/>
    </font>
    <font>
      <b/>
      <sz val="11"/>
      <color theme="1"/>
      <name val="Garamond"/>
      <family val="1"/>
    </font>
    <font>
      <sz val="10"/>
      <color rgb="FFFF0000"/>
      <name val="Garamond"/>
      <family val="2"/>
    </font>
    <font>
      <b/>
      <sz val="10"/>
      <color theme="1"/>
      <name val="Garamond"/>
      <family val="1"/>
    </font>
    <font>
      <b/>
      <sz val="10"/>
      <color theme="1"/>
      <name val="Garamond"/>
      <family val="2"/>
    </font>
    <font>
      <i/>
      <sz val="8"/>
      <color theme="3"/>
      <name val="Garamond"/>
      <family val="2"/>
    </font>
    <font>
      <u/>
      <sz val="10"/>
      <color theme="10"/>
      <name val="Garamond"/>
      <family val="2"/>
    </font>
    <font>
      <sz val="10"/>
      <color rgb="FFC00000"/>
      <name val="Garamond"/>
      <family val="2"/>
    </font>
    <font>
      <sz val="10"/>
      <name val="Garamond"/>
      <family val="1"/>
    </font>
    <font>
      <b/>
      <sz val="10"/>
      <name val="Garamond"/>
      <family val="1"/>
    </font>
    <font>
      <b/>
      <sz val="10"/>
      <color rgb="FFC00000"/>
      <name val="Garamond"/>
      <family val="1"/>
    </font>
    <font>
      <sz val="14"/>
      <color theme="1"/>
      <name val="Garamond"/>
      <family val="2"/>
    </font>
    <font>
      <b/>
      <sz val="12"/>
      <color theme="1"/>
      <name val="Garamond"/>
      <family val="1"/>
    </font>
    <font>
      <b/>
      <sz val="11"/>
      <color theme="1"/>
      <name val="Symbol"/>
      <family val="1"/>
      <charset val="2"/>
    </font>
    <font>
      <sz val="9"/>
      <color theme="1"/>
      <name val="Garamond"/>
      <family val="2"/>
    </font>
    <font>
      <sz val="9"/>
      <color theme="1"/>
      <name val="Garamond"/>
      <family val="1"/>
    </font>
    <font>
      <sz val="10"/>
      <color rgb="FF000000"/>
      <name val="Garamond"/>
      <family val="1"/>
    </font>
    <font>
      <b/>
      <sz val="8"/>
      <color rgb="FF000000"/>
      <name val="Arial"/>
      <family val="2"/>
    </font>
    <font>
      <b/>
      <sz val="14"/>
      <color theme="1"/>
      <name val="Garamond"/>
      <family val="1"/>
    </font>
    <font>
      <sz val="12"/>
      <color theme="1" tint="0.249977111117893"/>
      <name val="Garamond"/>
      <family val="2"/>
    </font>
    <font>
      <b/>
      <sz val="12"/>
      <name val="Garamond"/>
      <family val="1"/>
    </font>
    <font>
      <sz val="9"/>
      <color rgb="FF55879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43" fontId="4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4" fillId="0" borderId="1" xfId="1" applyFont="1" applyBorder="1"/>
    <xf numFmtId="43" fontId="4" fillId="0" borderId="0" xfId="0" applyNumberFormat="1" applyFont="1"/>
    <xf numFmtId="0" fontId="4" fillId="0" borderId="0" xfId="0" applyFont="1" applyBorder="1" applyAlignment="1">
      <alignment horizontal="center"/>
    </xf>
    <xf numFmtId="10" fontId="4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4" fontId="4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3" fontId="0" fillId="0" borderId="0" xfId="0" applyNumberFormat="1"/>
    <xf numFmtId="14" fontId="6" fillId="0" borderId="0" xfId="0" applyNumberFormat="1" applyFont="1"/>
    <xf numFmtId="0" fontId="6" fillId="2" borderId="0" xfId="0" applyFont="1" applyFill="1"/>
    <xf numFmtId="0" fontId="6" fillId="0" borderId="0" xfId="0" applyFont="1" applyFill="1"/>
    <xf numFmtId="0" fontId="8" fillId="0" borderId="1" xfId="0" applyFont="1" applyBorder="1" applyAlignment="1">
      <alignment horizontal="center"/>
    </xf>
    <xf numFmtId="0" fontId="6" fillId="2" borderId="0" xfId="0" applyFont="1" applyFill="1" applyBorder="1"/>
    <xf numFmtId="4" fontId="4" fillId="0" borderId="0" xfId="0" applyNumberFormat="1" applyFont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3" fontId="4" fillId="0" borderId="0" xfId="1" applyFont="1" applyAlignment="1">
      <alignment vertical="center"/>
    </xf>
    <xf numFmtId="0" fontId="4" fillId="0" borderId="0" xfId="0" applyNumberFormat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4" fillId="0" borderId="0" xfId="1" applyFont="1" applyBorder="1"/>
    <xf numFmtId="0" fontId="9" fillId="0" borderId="0" xfId="0" applyFont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Alignment="1">
      <alignment horizontal="left"/>
    </xf>
    <xf numFmtId="17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8" fillId="0" borderId="0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/>
    <xf numFmtId="43" fontId="4" fillId="0" borderId="0" xfId="0" applyNumberFormat="1" applyFont="1" applyBorder="1"/>
    <xf numFmtId="9" fontId="4" fillId="0" borderId="0" xfId="1" applyNumberFormat="1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4" fillId="0" borderId="0" xfId="0" applyFont="1" applyFill="1"/>
    <xf numFmtId="43" fontId="4" fillId="0" borderId="0" xfId="0" applyNumberFormat="1" applyFont="1" applyFill="1" applyBorder="1"/>
    <xf numFmtId="0" fontId="4" fillId="0" borderId="0" xfId="0" applyFont="1" applyFill="1" applyBorder="1"/>
    <xf numFmtId="9" fontId="4" fillId="0" borderId="0" xfId="1" applyNumberFormat="1" applyFont="1" applyBorder="1" applyAlignment="1">
      <alignment horizontal="center"/>
    </xf>
    <xf numFmtId="43" fontId="4" fillId="0" borderId="1" xfId="0" applyNumberFormat="1" applyFont="1" applyFill="1" applyBorder="1"/>
    <xf numFmtId="43" fontId="4" fillId="0" borderId="1" xfId="0" applyNumberFormat="1" applyFont="1" applyBorder="1"/>
    <xf numFmtId="0" fontId="10" fillId="0" borderId="0" xfId="0" applyFont="1" applyBorder="1" applyAlignment="1">
      <alignment horizontal="center" vertical="center"/>
    </xf>
    <xf numFmtId="4" fontId="4" fillId="0" borderId="0" xfId="0" applyNumberFormat="1" applyFont="1" applyFill="1" applyBorder="1"/>
    <xf numFmtId="0" fontId="0" fillId="0" borderId="0" xfId="0" applyBorder="1"/>
    <xf numFmtId="4" fontId="4" fillId="0" borderId="1" xfId="0" applyNumberFormat="1" applyFont="1" applyBorder="1"/>
    <xf numFmtId="4" fontId="4" fillId="0" borderId="1" xfId="0" applyNumberFormat="1" applyFont="1" applyFill="1" applyBorder="1"/>
    <xf numFmtId="43" fontId="0" fillId="0" borderId="0" xfId="0" applyNumberFormat="1" applyAlignment="1">
      <alignment horizontal="center"/>
    </xf>
    <xf numFmtId="10" fontId="4" fillId="0" borderId="0" xfId="2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left" vertical="top" indent="1"/>
    </xf>
    <xf numFmtId="9" fontId="12" fillId="0" borderId="1" xfId="0" applyNumberFormat="1" applyFont="1" applyBorder="1" applyAlignment="1">
      <alignment horizontal="right" vertical="top"/>
    </xf>
    <xf numFmtId="0" fontId="4" fillId="3" borderId="0" xfId="0" applyFont="1" applyFill="1" applyBorder="1"/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3" fillId="0" borderId="0" xfId="3" applyFont="1" applyBorder="1" applyAlignment="1" applyProtection="1"/>
    <xf numFmtId="4" fontId="4" fillId="0" borderId="2" xfId="0" applyNumberFormat="1" applyFont="1" applyBorder="1"/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3" fontId="4" fillId="0" borderId="0" xfId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43" fontId="4" fillId="0" borderId="0" xfId="1" applyFont="1" applyBorder="1" applyAlignment="1">
      <alignment vertical="center"/>
    </xf>
    <xf numFmtId="49" fontId="10" fillId="0" borderId="1" xfId="0" applyNumberFormat="1" applyFont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14" fillId="0" borderId="0" xfId="0" applyFont="1" applyFill="1" applyAlignment="1">
      <alignment horizontal="right"/>
    </xf>
    <xf numFmtId="0" fontId="15" fillId="0" borderId="0" xfId="0" applyFont="1" applyFill="1" applyBorder="1"/>
    <xf numFmtId="164" fontId="15" fillId="0" borderId="0" xfId="1" applyNumberFormat="1" applyFont="1" applyFill="1" applyBorder="1"/>
    <xf numFmtId="43" fontId="5" fillId="0" borderId="0" xfId="1" applyFont="1" applyFill="1"/>
    <xf numFmtId="0" fontId="15" fillId="0" borderId="0" xfId="0" applyFont="1" applyFill="1" applyBorder="1" applyAlignment="1">
      <alignment horizontal="left" indent="1"/>
    </xf>
    <xf numFmtId="43" fontId="5" fillId="0" borderId="0" xfId="0" applyNumberFormat="1" applyFont="1" applyFill="1"/>
    <xf numFmtId="0" fontId="15" fillId="0" borderId="1" xfId="0" applyFont="1" applyFill="1" applyBorder="1" applyAlignment="1">
      <alignment horizontal="left" indent="1"/>
    </xf>
    <xf numFmtId="0" fontId="5" fillId="0" borderId="0" xfId="0" applyFont="1" applyFill="1"/>
    <xf numFmtId="43" fontId="5" fillId="0" borderId="1" xfId="0" applyNumberFormat="1" applyFont="1" applyFill="1" applyBorder="1"/>
    <xf numFmtId="0" fontId="16" fillId="3" borderId="1" xfId="0" applyFont="1" applyFill="1" applyBorder="1" applyAlignment="1">
      <alignment horizontal="left" indent="1"/>
    </xf>
    <xf numFmtId="164" fontId="16" fillId="3" borderId="1" xfId="1" applyNumberFormat="1" applyFont="1" applyFill="1" applyBorder="1"/>
    <xf numFmtId="0" fontId="5" fillId="0" borderId="1" xfId="0" applyFont="1" applyFill="1" applyBorder="1" applyAlignment="1">
      <alignment horizontal="left"/>
    </xf>
    <xf numFmtId="0" fontId="10" fillId="0" borderId="0" xfId="0" applyFont="1" applyFill="1"/>
    <xf numFmtId="43" fontId="10" fillId="0" borderId="0" xfId="0" applyNumberFormat="1" applyFont="1" applyFill="1"/>
    <xf numFmtId="0" fontId="14" fillId="0" borderId="3" xfId="0" applyFont="1" applyBorder="1" applyAlignment="1">
      <alignment horizontal="right"/>
    </xf>
    <xf numFmtId="0" fontId="4" fillId="0" borderId="3" xfId="0" applyFont="1" applyBorder="1"/>
    <xf numFmtId="0" fontId="4" fillId="3" borderId="0" xfId="0" applyFont="1" applyFill="1"/>
    <xf numFmtId="0" fontId="17" fillId="0" borderId="0" xfId="0" applyFont="1"/>
    <xf numFmtId="0" fontId="5" fillId="0" borderId="0" xfId="0" applyFont="1"/>
    <xf numFmtId="0" fontId="10" fillId="3" borderId="0" xfId="0" applyFont="1" applyFill="1"/>
    <xf numFmtId="0" fontId="4" fillId="3" borderId="0" xfId="0" applyFont="1" applyFill="1" applyAlignment="1">
      <alignment horizontal="center"/>
    </xf>
    <xf numFmtId="14" fontId="5" fillId="0" borderId="0" xfId="0" applyNumberFormat="1" applyFont="1"/>
    <xf numFmtId="43" fontId="5" fillId="0" borderId="0" xfId="1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3" borderId="0" xfId="0" applyFont="1" applyFill="1" applyBorder="1"/>
    <xf numFmtId="0" fontId="11" fillId="0" borderId="0" xfId="0" applyFont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43" fontId="10" fillId="2" borderId="0" xfId="0" applyNumberFormat="1" applyFont="1" applyFill="1"/>
    <xf numFmtId="43" fontId="10" fillId="2" borderId="0" xfId="1" applyFont="1" applyFill="1" applyBorder="1"/>
    <xf numFmtId="0" fontId="0" fillId="0" borderId="0" xfId="0" applyFill="1" applyBorder="1"/>
    <xf numFmtId="0" fontId="16" fillId="0" borderId="0" xfId="0" applyFont="1" applyFill="1" applyBorder="1" applyAlignment="1">
      <alignment horizontal="left"/>
    </xf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8" fillId="0" borderId="0" xfId="0" applyFont="1"/>
    <xf numFmtId="0" fontId="3" fillId="0" borderId="0" xfId="0" applyFont="1"/>
    <xf numFmtId="0" fontId="19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10" fontId="4" fillId="0" borderId="4" xfId="0" applyNumberFormat="1" applyFont="1" applyBorder="1" applyAlignment="1">
      <alignment horizontal="center"/>
    </xf>
    <xf numFmtId="10" fontId="4" fillId="0" borderId="4" xfId="2" applyNumberFormat="1" applyFont="1" applyBorder="1" applyAlignment="1">
      <alignment horizontal="center"/>
    </xf>
    <xf numFmtId="0" fontId="20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10" fillId="0" borderId="0" xfId="0" applyFont="1" applyFill="1" applyBorder="1"/>
    <xf numFmtId="43" fontId="10" fillId="0" borderId="0" xfId="0" applyNumberFormat="1" applyFont="1"/>
    <xf numFmtId="0" fontId="21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center" vertical="center"/>
    </xf>
    <xf numFmtId="14" fontId="21" fillId="0" borderId="0" xfId="0" applyNumberFormat="1" applyFont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43" fontId="21" fillId="0" borderId="0" xfId="1" applyFont="1" applyBorder="1" applyAlignment="1">
      <alignment horizontal="center" vertical="center"/>
    </xf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43" fontId="21" fillId="0" borderId="0" xfId="1" applyFont="1" applyFill="1" applyBorder="1" applyAlignment="1">
      <alignment horizontal="center" vertical="center"/>
    </xf>
    <xf numFmtId="12" fontId="21" fillId="0" borderId="0" xfId="1" applyNumberFormat="1" applyFont="1" applyBorder="1" applyAlignment="1">
      <alignment horizontal="center" vertical="center"/>
    </xf>
    <xf numFmtId="0" fontId="8" fillId="3" borderId="0" xfId="0" applyFont="1" applyFill="1" applyBorder="1" applyAlignment="1">
      <alignment vertical="center"/>
    </xf>
    <xf numFmtId="164" fontId="15" fillId="0" borderId="1" xfId="1" applyNumberFormat="1" applyFont="1" applyFill="1" applyBorder="1"/>
    <xf numFmtId="164" fontId="15" fillId="3" borderId="1" xfId="1" applyNumberFormat="1" applyFont="1" applyFill="1" applyBorder="1"/>
    <xf numFmtId="0" fontId="8" fillId="0" borderId="0" xfId="0" applyFont="1" applyFill="1"/>
    <xf numFmtId="0" fontId="4" fillId="0" borderId="3" xfId="0" applyFont="1" applyFill="1" applyBorder="1"/>
    <xf numFmtId="0" fontId="4" fillId="0" borderId="1" xfId="0" applyFont="1" applyFill="1" applyBorder="1"/>
    <xf numFmtId="164" fontId="4" fillId="0" borderId="0" xfId="0" applyNumberFormat="1" applyFont="1" applyFill="1"/>
    <xf numFmtId="0" fontId="10" fillId="0" borderId="1" xfId="0" applyFont="1" applyFill="1" applyBorder="1" applyAlignment="1">
      <alignment horizontal="left" vertical="center"/>
    </xf>
    <xf numFmtId="164" fontId="16" fillId="0" borderId="1" xfId="1" applyNumberFormat="1" applyFont="1" applyFill="1" applyBorder="1"/>
    <xf numFmtId="0" fontId="10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43" fontId="1" fillId="0" borderId="0" xfId="1" applyFont="1"/>
    <xf numFmtId="43" fontId="1" fillId="0" borderId="0" xfId="0" applyNumberFormat="1" applyFont="1"/>
    <xf numFmtId="165" fontId="1" fillId="0" borderId="0" xfId="1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165" fontId="1" fillId="0" borderId="1" xfId="1" applyNumberFormat="1" applyFont="1" applyBorder="1" applyAlignment="1">
      <alignment horizontal="right" vertical="center"/>
    </xf>
    <xf numFmtId="0" fontId="1" fillId="0" borderId="1" xfId="0" applyFont="1" applyBorder="1"/>
    <xf numFmtId="0" fontId="10" fillId="0" borderId="1" xfId="0" applyFont="1" applyBorder="1"/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1" fillId="0" borderId="0" xfId="0" applyNumberFormat="1" applyFont="1" applyBorder="1"/>
    <xf numFmtId="0" fontId="1" fillId="0" borderId="1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21" fillId="4" borderId="0" xfId="0" applyFont="1" applyFill="1" applyBorder="1" applyAlignment="1">
      <alignment horizontal="left" vertical="center" wrapText="1"/>
    </xf>
    <xf numFmtId="0" fontId="21" fillId="4" borderId="0" xfId="0" applyFont="1" applyFill="1" applyBorder="1" applyAlignment="1">
      <alignment horizontal="center" vertical="center"/>
    </xf>
    <xf numFmtId="14" fontId="21" fillId="4" borderId="0" xfId="0" applyNumberFormat="1" applyFont="1" applyFill="1" applyBorder="1" applyAlignment="1">
      <alignment horizontal="center" vertical="center"/>
    </xf>
    <xf numFmtId="43" fontId="21" fillId="4" borderId="0" xfId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0" borderId="0" xfId="0" applyFont="1" applyAlignment="1"/>
    <xf numFmtId="165" fontId="1" fillId="0" borderId="0" xfId="0" applyNumberFormat="1" applyFont="1" applyFill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9" fontId="1" fillId="2" borderId="0" xfId="2" applyFont="1" applyFill="1" applyAlignment="1">
      <alignment horizontal="center" vertical="center"/>
    </xf>
    <xf numFmtId="9" fontId="1" fillId="2" borderId="1" xfId="2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43" fontId="1" fillId="0" borderId="0" xfId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center" vertical="center"/>
    </xf>
    <xf numFmtId="14" fontId="22" fillId="0" borderId="0" xfId="0" applyNumberFormat="1" applyFont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43" fontId="22" fillId="0" borderId="0" xfId="1" applyFont="1" applyBorder="1" applyAlignment="1">
      <alignment horizontal="center" vertical="center"/>
    </xf>
    <xf numFmtId="4" fontId="1" fillId="0" borderId="0" xfId="0" applyNumberFormat="1" applyFont="1"/>
    <xf numFmtId="4" fontId="1" fillId="0" borderId="1" xfId="0" applyNumberFormat="1" applyFont="1" applyBorder="1"/>
    <xf numFmtId="0" fontId="1" fillId="0" borderId="0" xfId="0" applyFont="1" applyFill="1"/>
    <xf numFmtId="9" fontId="1" fillId="0" borderId="0" xfId="2" applyFont="1" applyFill="1" applyAlignment="1">
      <alignment horizontal="center" vertical="center"/>
    </xf>
    <xf numFmtId="0" fontId="24" fillId="0" borderId="0" xfId="0" applyFont="1"/>
    <xf numFmtId="0" fontId="5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3" fillId="0" borderId="0" xfId="0" applyFont="1" applyAlignment="1">
      <alignment horizontal="justify" vertical="center"/>
    </xf>
    <xf numFmtId="0" fontId="1" fillId="0" borderId="0" xfId="0" applyFont="1" applyFill="1" applyAlignment="1">
      <alignment vertical="center" wrapText="1"/>
    </xf>
    <xf numFmtId="0" fontId="2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3" xfId="0" applyBorder="1" applyAlignment="1">
      <alignment horizontal="centerContinuous"/>
    </xf>
    <xf numFmtId="0" fontId="19" fillId="0" borderId="3" xfId="0" applyFont="1" applyBorder="1" applyAlignment="1">
      <alignment horizontal="centerContinuous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6" fillId="0" borderId="0" xfId="0" applyFont="1"/>
    <xf numFmtId="0" fontId="19" fillId="0" borderId="0" xfId="0" applyFont="1"/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left"/>
    </xf>
    <xf numFmtId="43" fontId="26" fillId="0" borderId="0" xfId="1" applyFont="1"/>
    <xf numFmtId="43" fontId="19" fillId="0" borderId="0" xfId="1" applyFont="1"/>
    <xf numFmtId="43" fontId="19" fillId="0" borderId="0" xfId="0" applyNumberFormat="1" applyFont="1"/>
    <xf numFmtId="4" fontId="28" fillId="0" borderId="0" xfId="0" applyNumberFormat="1" applyFont="1"/>
    <xf numFmtId="4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 wrapText="1"/>
    </xf>
    <xf numFmtId="0" fontId="6" fillId="0" borderId="0" xfId="0" applyFont="1" applyFill="1" applyAlignment="1">
      <alignment wrapText="1"/>
    </xf>
    <xf numFmtId="0" fontId="23" fillId="0" borderId="0" xfId="0" applyFont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9" fontId="1" fillId="0" borderId="1" xfId="2" applyFont="1" applyFill="1" applyBorder="1" applyAlignment="1">
      <alignment horizontal="center" vertical="center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view="pageBreakPreview" zoomScaleNormal="100" zoomScaleSheetLayoutView="100" workbookViewId="0">
      <selection activeCell="H11" sqref="H11"/>
    </sheetView>
  </sheetViews>
  <sheetFormatPr defaultRowHeight="12.75" x14ac:dyDescent="0.2"/>
  <cols>
    <col min="1" max="1" width="2.625" style="17" customWidth="1"/>
    <col min="2" max="2" width="4.375" style="17" customWidth="1"/>
    <col min="3" max="3" width="33.125" style="17" bestFit="1" customWidth="1"/>
    <col min="4" max="4" width="11.125" style="17" bestFit="1" customWidth="1"/>
    <col min="5" max="5" width="12.75" style="17" customWidth="1"/>
    <col min="6" max="6" width="11.5" style="17" customWidth="1"/>
    <col min="7" max="7" width="10.75" style="17" customWidth="1"/>
    <col min="8" max="8" width="11.375" style="17" customWidth="1"/>
    <col min="9" max="9" width="2.875" style="17" bestFit="1" customWidth="1"/>
    <col min="10" max="16384" width="9" style="17"/>
  </cols>
  <sheetData>
    <row r="1" spans="2:23" customFormat="1" ht="18.75" x14ac:dyDescent="0.3">
      <c r="B1" s="131" t="s">
        <v>102</v>
      </c>
      <c r="C1" s="17"/>
    </row>
    <row r="2" spans="2:23" customFormat="1" ht="15.75" x14ac:dyDescent="0.25">
      <c r="B2" s="132" t="s">
        <v>97</v>
      </c>
      <c r="C2" s="17"/>
      <c r="D2" s="17"/>
      <c r="E2" s="17"/>
    </row>
    <row r="3" spans="2:23" customFormat="1" ht="15.75" x14ac:dyDescent="0.25">
      <c r="B3" s="132" t="s">
        <v>150</v>
      </c>
      <c r="C3" s="1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</row>
    <row r="4" spans="2:23" customFormat="1" ht="15.75" x14ac:dyDescent="0.25"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</row>
    <row r="5" spans="2:23" x14ac:dyDescent="0.2"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</row>
    <row r="6" spans="2:23" x14ac:dyDescent="0.2">
      <c r="C6" s="72" t="s">
        <v>95</v>
      </c>
      <c r="D6" s="73" t="s">
        <v>221</v>
      </c>
      <c r="E6" s="73" t="s">
        <v>222</v>
      </c>
      <c r="F6" s="73" t="s">
        <v>223</v>
      </c>
      <c r="G6" s="73" t="s">
        <v>224</v>
      </c>
      <c r="H6" s="73" t="s">
        <v>14</v>
      </c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</row>
    <row r="7" spans="2:23" x14ac:dyDescent="0.2">
      <c r="C7" s="10" t="s">
        <v>22</v>
      </c>
      <c r="D7" s="1">
        <f>SUMIFS(Investimentos!$P$6:$P$100,Investimentos!$L$6:$L$100,Resumo!D$6,Investimentos!$I$6:$I$100,Resumo!$C7)</f>
        <v>770</v>
      </c>
      <c r="E7" s="1">
        <f>SUMIFS(Investimentos!$P$6:$P$100,Investimentos!$L$6:$L$100,Resumo!E$6,Investimentos!$I$6:$I$100,Resumo!$C7)</f>
        <v>9355.14</v>
      </c>
      <c r="F7" s="1">
        <f>SUMIFS(Investimentos!$P$6:$P$100,Investimentos!$L$6:$L$100,Resumo!F$6,Investimentos!$I$6:$I$100,Resumo!$C7)</f>
        <v>2985.55</v>
      </c>
      <c r="G7" s="1">
        <f>SUMIFS(Investimentos!$P$6:$P$100,Investimentos!$L$6:$L$100,Resumo!G$6,Investimentos!$I$6:$I$100,Resumo!$C7)</f>
        <v>1711.48</v>
      </c>
      <c r="H7" s="1">
        <f>SUM(D7:G7)</f>
        <v>14822.169999999998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</row>
    <row r="8" spans="2:23" x14ac:dyDescent="0.2">
      <c r="C8" s="10" t="s">
        <v>251</v>
      </c>
      <c r="D8" s="36">
        <f>SUMIFS(Investimentos!$P$6:$P$100,Investimentos!$L$6:$L$100,Resumo!D$6,Investimentos!$I$6:$I$100,Resumo!$C8)</f>
        <v>116.46972510131408</v>
      </c>
      <c r="E8" s="36">
        <f>SUMIFS(Investimentos!$P$6:$P$100,Investimentos!$L$6:$L$100,Resumo!E$6,Investimentos!$I$6:$I$100,Resumo!$C8)</f>
        <v>77.93597320462672</v>
      </c>
      <c r="F8" s="36">
        <f>SUMIFS(Investimentos!$P$6:$P$100,Investimentos!$L$6:$L$100,Resumo!F$6,Investimentos!$I$6:$I$100,Resumo!$C8)</f>
        <v>1585.1040411485094</v>
      </c>
      <c r="G8" s="36">
        <f>SUMIFS(Investimentos!$P$6:$P$100,Investimentos!$L$6:$L$100,Resumo!G$6,Investimentos!$I$6:$I$100,Resumo!$C8)</f>
        <v>128.85047978776336</v>
      </c>
      <c r="H8" s="36">
        <f>SUM(D8:G8)</f>
        <v>1908.3602192422136</v>
      </c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</row>
    <row r="9" spans="2:23" x14ac:dyDescent="0.2">
      <c r="C9" s="10" t="s">
        <v>252</v>
      </c>
      <c r="D9" s="36">
        <f>SUMIFS('Salário e Custo Hora'!$E$20:$P$20,'Salário e Custo Hora'!$E$18:$P$18,Resumo!D6)</f>
        <v>14449.65329266667</v>
      </c>
      <c r="E9" s="36">
        <f>SUMIFS('Salário e Custo Hora'!$E$20:$P$20,'Salário e Custo Hora'!$E$18:$P$18,Resumo!E6)</f>
        <v>14449.65329266667</v>
      </c>
      <c r="F9" s="36">
        <f>SUMIFS('Salário e Custo Hora'!$E$20:$P$20,'Salário e Custo Hora'!$E$18:$P$18,Resumo!F6)</f>
        <v>15605.633085666668</v>
      </c>
      <c r="G9" s="36">
        <f>SUMIFS('Salário e Custo Hora'!$E$20:$P$20,'Salário e Custo Hora'!$E$18:$P$18,Resumo!G6)</f>
        <v>15605.633085666668</v>
      </c>
      <c r="H9" s="36">
        <f t="shared" ref="H9:H19" si="0">SUM(D9:G9)</f>
        <v>60110.572756666676</v>
      </c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</row>
    <row r="10" spans="2:23" x14ac:dyDescent="0.2">
      <c r="C10" s="10" t="s">
        <v>32</v>
      </c>
      <c r="D10" s="4">
        <f>SUMIFS(Investimentos!$P$6:$P$100,Investimentos!$L$6:$L$100,Resumo!D$6,Investimentos!$I$6:$I$100,Resumo!$C10)+SUMIFS(Terceiros!$H$6:$H$24,Terceiros!$E$6:$E$24,Resumo!D6)</f>
        <v>21361.445999999996</v>
      </c>
      <c r="E10" s="4">
        <f>SUMIFS(Investimentos!$P$6:$P$100,Investimentos!$L$6:$L$100,Resumo!E$6,Investimentos!$I$6:$I$100,Resumo!$C10)+SUMIFS(Terceiros!$H$6:$H$24,Terceiros!$E$6:$E$24,Resumo!E6)</f>
        <v>23662.445999999996</v>
      </c>
      <c r="F10" s="4">
        <f>SUMIFS(Investimentos!$P$6:$P$100,Investimentos!$L$6:$L$100,Resumo!F$6,Investimentos!$I$6:$I$100,Resumo!$C10)+SUMIFS(Terceiros!$H$6:$H$24,Terceiros!$E$6:$E$24,Resumo!F6)</f>
        <v>30064.705999999998</v>
      </c>
      <c r="G10" s="4">
        <f>SUMIFS(Investimentos!$P$6:$P$100,Investimentos!$L$6:$L$100,Resumo!G$6,Investimentos!$I$6:$I$100,Resumo!$C10)+SUMIFS(Terceiros!$H$6:$H$24,Terceiros!$E$6:$E$24,Resumo!G6)</f>
        <v>32570.748452830187</v>
      </c>
      <c r="H10" s="4">
        <f t="shared" si="0"/>
        <v>107659.34645283018</v>
      </c>
    </row>
    <row r="11" spans="2:23" x14ac:dyDescent="0.2">
      <c r="C11" s="9" t="s">
        <v>94</v>
      </c>
      <c r="D11" s="5">
        <f>SUM(D7:D10)</f>
        <v>36697.569017767979</v>
      </c>
      <c r="E11" s="5">
        <f t="shared" ref="E11:G11" si="1">SUM(E7:E10)</f>
        <v>47545.175265871294</v>
      </c>
      <c r="F11" s="5">
        <f t="shared" si="1"/>
        <v>50240.993126815178</v>
      </c>
      <c r="G11" s="5">
        <f t="shared" si="1"/>
        <v>50016.712018284619</v>
      </c>
      <c r="H11" s="5">
        <f>SUM(D11:G11)</f>
        <v>184500.44942873908</v>
      </c>
      <c r="I11" s="5"/>
    </row>
    <row r="12" spans="2:23" ht="17.25" customHeight="1" x14ac:dyDescent="0.2">
      <c r="C12" s="74" t="s">
        <v>247</v>
      </c>
      <c r="D12" s="75">
        <v>0.6</v>
      </c>
      <c r="E12" s="75">
        <v>0.6</v>
      </c>
      <c r="F12" s="75">
        <v>0.6</v>
      </c>
      <c r="G12" s="75">
        <v>0.6</v>
      </c>
      <c r="H12" s="75">
        <v>0.6</v>
      </c>
      <c r="J12" s="7"/>
    </row>
    <row r="13" spans="2:23" x14ac:dyDescent="0.2">
      <c r="C13" s="12" t="s">
        <v>248</v>
      </c>
      <c r="D13" s="5">
        <f>D11*D12</f>
        <v>22018.541410660786</v>
      </c>
      <c r="E13" s="5">
        <f t="shared" ref="E13:G13" si="2">E11*E12</f>
        <v>28527.105159522776</v>
      </c>
      <c r="F13" s="5">
        <f t="shared" si="2"/>
        <v>30144.595876089104</v>
      </c>
      <c r="G13" s="5">
        <f t="shared" si="2"/>
        <v>30010.027210970769</v>
      </c>
      <c r="H13" s="5">
        <f>SUM(D13:G13)</f>
        <v>110700.26965724344</v>
      </c>
      <c r="I13" s="5"/>
      <c r="J13" s="5"/>
      <c r="K13" s="5"/>
    </row>
    <row r="14" spans="2:23" x14ac:dyDescent="0.2">
      <c r="C14" s="12"/>
      <c r="D14" s="5"/>
      <c r="E14" s="5"/>
      <c r="F14" s="5"/>
      <c r="G14" s="5"/>
      <c r="H14" s="5">
        <f t="shared" si="0"/>
        <v>0</v>
      </c>
    </row>
    <row r="15" spans="2:23" ht="14.25" customHeight="1" x14ac:dyDescent="0.2">
      <c r="C15" s="166" t="s">
        <v>104</v>
      </c>
      <c r="D15" s="167">
        <f>D27</f>
        <v>-22018.541410660786</v>
      </c>
      <c r="E15" s="167">
        <f>E27</f>
        <v>-28527.105159522776</v>
      </c>
      <c r="F15" s="167">
        <f>F27</f>
        <v>-30144.595876089104</v>
      </c>
      <c r="G15" s="167">
        <f>G27</f>
        <v>0</v>
      </c>
      <c r="H15" s="167">
        <f t="shared" si="0"/>
        <v>-80690.242446272663</v>
      </c>
    </row>
    <row r="16" spans="2:23" ht="14.25" customHeight="1" x14ac:dyDescent="0.2">
      <c r="B16" s="95"/>
      <c r="C16" s="12" t="s">
        <v>250</v>
      </c>
      <c r="D16" s="1">
        <v>76208.98</v>
      </c>
      <c r="E16" s="1">
        <v>81372.759999999995</v>
      </c>
      <c r="F16" s="1">
        <v>67785.78</v>
      </c>
      <c r="G16" s="1">
        <v>0</v>
      </c>
      <c r="H16" s="1">
        <f>SUM(D16:G16)</f>
        <v>225367.52</v>
      </c>
      <c r="I16" s="113" t="s">
        <v>233</v>
      </c>
    </row>
    <row r="17" spans="1:9" ht="14.25" customHeight="1" x14ac:dyDescent="0.2">
      <c r="B17" s="95"/>
      <c r="C17" s="11" t="s">
        <v>249</v>
      </c>
      <c r="D17" s="4">
        <v>71061.039999999994</v>
      </c>
      <c r="E17" s="4">
        <v>74703.12</v>
      </c>
      <c r="F17" s="63">
        <v>60737.97</v>
      </c>
      <c r="G17" s="63">
        <f>G36</f>
        <v>0</v>
      </c>
      <c r="H17" s="4">
        <f t="shared" si="0"/>
        <v>206502.12999999998</v>
      </c>
      <c r="I17" s="113" t="s">
        <v>235</v>
      </c>
    </row>
    <row r="18" spans="1:9" ht="14.25" customHeight="1" x14ac:dyDescent="0.2">
      <c r="B18" s="95"/>
      <c r="C18" s="12" t="s">
        <v>321</v>
      </c>
      <c r="D18" s="5">
        <f>D16-D17</f>
        <v>5147.9400000000023</v>
      </c>
      <c r="E18" s="5">
        <f t="shared" ref="E18:G18" si="3">E16-E17</f>
        <v>6669.6399999999994</v>
      </c>
      <c r="F18" s="5">
        <f t="shared" si="3"/>
        <v>7047.8099999999977</v>
      </c>
      <c r="G18" s="5">
        <f t="shared" si="3"/>
        <v>0</v>
      </c>
      <c r="H18" s="36">
        <f t="shared" si="0"/>
        <v>18865.39</v>
      </c>
    </row>
    <row r="19" spans="1:9" ht="14.25" customHeight="1" x14ac:dyDescent="0.2">
      <c r="B19" s="95"/>
      <c r="C19" s="124" t="s">
        <v>322</v>
      </c>
      <c r="D19" s="125">
        <f>10%*D18</f>
        <v>514.79400000000021</v>
      </c>
      <c r="E19" s="125">
        <f t="shared" ref="E19:G19" si="4">10%*E18</f>
        <v>666.96399999999994</v>
      </c>
      <c r="F19" s="125">
        <f t="shared" si="4"/>
        <v>704.78099999999984</v>
      </c>
      <c r="G19" s="125">
        <f t="shared" si="4"/>
        <v>0</v>
      </c>
      <c r="H19" s="126">
        <f t="shared" si="0"/>
        <v>1886.5390000000002</v>
      </c>
    </row>
    <row r="20" spans="1:9" s="111" customFormat="1" ht="13.5" thickBot="1" x14ac:dyDescent="0.25">
      <c r="B20" s="110"/>
    </row>
    <row r="21" spans="1:9" s="58" customFormat="1" ht="21" customHeight="1" x14ac:dyDescent="0.25">
      <c r="A21" s="113" t="s">
        <v>235</v>
      </c>
      <c r="B21" s="162" t="s">
        <v>327</v>
      </c>
    </row>
    <row r="22" spans="1:9" s="58" customFormat="1" x14ac:dyDescent="0.2">
      <c r="D22" s="165"/>
      <c r="E22" s="165"/>
      <c r="F22" s="165"/>
      <c r="G22" s="165"/>
    </row>
    <row r="23" spans="1:9" s="58" customFormat="1" x14ac:dyDescent="0.2">
      <c r="C23" s="164" t="s">
        <v>329</v>
      </c>
      <c r="D23" s="160">
        <v>380951.9</v>
      </c>
      <c r="E23" s="160">
        <v>558509.80999999994</v>
      </c>
      <c r="F23" s="160">
        <v>666480.89000000013</v>
      </c>
      <c r="G23" s="160">
        <v>-166565.97999999998</v>
      </c>
    </row>
    <row r="24" spans="1:9" s="58" customFormat="1" x14ac:dyDescent="0.2">
      <c r="C24" s="58" t="s">
        <v>330</v>
      </c>
      <c r="D24" s="58">
        <v>23073.439999999999</v>
      </c>
      <c r="E24" s="58">
        <v>416065.05999999994</v>
      </c>
      <c r="F24" s="58">
        <v>614826.51000000013</v>
      </c>
      <c r="G24" s="58">
        <v>695465.7300000001</v>
      </c>
    </row>
    <row r="25" spans="1:9" s="58" customFormat="1" x14ac:dyDescent="0.2">
      <c r="C25" s="164" t="s">
        <v>331</v>
      </c>
      <c r="D25" s="160">
        <v>-52404.396598597959</v>
      </c>
      <c r="E25" s="160">
        <v>-600867.59000000008</v>
      </c>
      <c r="F25" s="160">
        <v>-965713.8323990783</v>
      </c>
      <c r="G25" s="160">
        <v>-835761.48</v>
      </c>
    </row>
    <row r="26" spans="1:9" s="58" customFormat="1" x14ac:dyDescent="0.2">
      <c r="B26" s="96"/>
      <c r="C26" s="97" t="s">
        <v>261</v>
      </c>
      <c r="D26" s="98">
        <f>SUM(D23:D25)</f>
        <v>351620.9434014021</v>
      </c>
      <c r="E26" s="98">
        <f t="shared" ref="E26:G26" si="5">SUM(E23:E25)</f>
        <v>373707.2799999998</v>
      </c>
      <c r="F26" s="98">
        <f t="shared" si="5"/>
        <v>315593.56760092208</v>
      </c>
      <c r="G26" s="98">
        <f t="shared" si="5"/>
        <v>-306861.72999999986</v>
      </c>
    </row>
    <row r="27" spans="1:9" s="58" customFormat="1" x14ac:dyDescent="0.2">
      <c r="B27" s="96"/>
      <c r="C27" s="105" t="s">
        <v>260</v>
      </c>
      <c r="D27" s="161">
        <f>-IF(D26&gt;0,MIN(D13,D26),0)</f>
        <v>-22018.541410660786</v>
      </c>
      <c r="E27" s="161">
        <f>-IF(E26&gt;0,MIN(E13,E26),0)</f>
        <v>-28527.105159522776</v>
      </c>
      <c r="F27" s="161">
        <f>-IF(F26&gt;0,MIN(F13,F26),0)</f>
        <v>-30144.595876089104</v>
      </c>
      <c r="G27" s="106">
        <f>IF(G26&gt;0,MIN(G13,G26),0)</f>
        <v>0</v>
      </c>
    </row>
    <row r="28" spans="1:9" s="58" customFormat="1" x14ac:dyDescent="0.2">
      <c r="B28" s="96"/>
      <c r="C28" s="100" t="s">
        <v>262</v>
      </c>
      <c r="D28" s="98">
        <f>IF(D26&gt;0,D26+D27,0)</f>
        <v>329602.40199074132</v>
      </c>
      <c r="E28" s="98">
        <f>IF(E26&gt;0,E26+E27,0)</f>
        <v>345180.174840477</v>
      </c>
      <c r="F28" s="98">
        <f>IF(F26&gt;0,F26+F27,0)</f>
        <v>285448.97172483295</v>
      </c>
      <c r="G28" s="98">
        <f t="shared" ref="G28" si="6">IF(G26&gt;0,G26-G27,0)</f>
        <v>0</v>
      </c>
    </row>
    <row r="29" spans="1:9" s="58" customFormat="1" x14ac:dyDescent="0.2">
      <c r="C29" s="102" t="s">
        <v>253</v>
      </c>
      <c r="D29" s="160">
        <f>-D28*30%</f>
        <v>-98880.720597222389</v>
      </c>
      <c r="E29" s="160">
        <f t="shared" ref="E29:G29" si="7">-E28*30%</f>
        <v>-103554.05245214309</v>
      </c>
      <c r="F29" s="160">
        <f t="shared" si="7"/>
        <v>-85634.691517449886</v>
      </c>
      <c r="G29" s="160">
        <f t="shared" si="7"/>
        <v>0</v>
      </c>
    </row>
    <row r="30" spans="1:9" s="58" customFormat="1" x14ac:dyDescent="0.2">
      <c r="C30" s="97" t="s">
        <v>254</v>
      </c>
      <c r="D30" s="101">
        <f>SUM(D28:D29)</f>
        <v>230721.68139351893</v>
      </c>
      <c r="E30" s="101">
        <f>SUM(E28:E29)</f>
        <v>241626.1223883339</v>
      </c>
      <c r="F30" s="101">
        <f>SUM(F28:F29)</f>
        <v>199814.28020738307</v>
      </c>
      <c r="G30" s="99">
        <f t="shared" ref="G30" si="8">G28-G29</f>
        <v>0</v>
      </c>
    </row>
    <row r="31" spans="1:9" s="58" customFormat="1" x14ac:dyDescent="0.2">
      <c r="C31" s="100" t="s">
        <v>255</v>
      </c>
      <c r="D31" s="101">
        <f>D30*15%</f>
        <v>34608.252209027836</v>
      </c>
      <c r="E31" s="99">
        <f t="shared" ref="E31:G31" si="9">E30*15%</f>
        <v>36243.918358250085</v>
      </c>
      <c r="F31" s="99">
        <f t="shared" si="9"/>
        <v>29972.142031107458</v>
      </c>
      <c r="G31" s="99">
        <f t="shared" si="9"/>
        <v>0</v>
      </c>
    </row>
    <row r="32" spans="1:9" s="58" customFormat="1" x14ac:dyDescent="0.2">
      <c r="C32" s="100" t="s">
        <v>256</v>
      </c>
      <c r="D32" s="99">
        <f>IF(D30&gt;60000,(D30-60000)*10%,0)</f>
        <v>17072.168139351892</v>
      </c>
      <c r="E32" s="99">
        <f t="shared" ref="E32:G32" si="10">IF(E30&gt;60000,(E30-60000)*10%,0)</f>
        <v>18162.61223883339</v>
      </c>
      <c r="F32" s="99">
        <f t="shared" si="10"/>
        <v>13981.428020738307</v>
      </c>
      <c r="G32" s="99">
        <f t="shared" si="10"/>
        <v>0</v>
      </c>
    </row>
    <row r="33" spans="1:8" s="58" customFormat="1" x14ac:dyDescent="0.2">
      <c r="C33" s="102" t="s">
        <v>257</v>
      </c>
      <c r="D33" s="160">
        <f>-D31*4%</f>
        <v>-1384.3300883611134</v>
      </c>
      <c r="E33" s="160">
        <f>-E31*4%</f>
        <v>-1449.7567343300034</v>
      </c>
      <c r="F33" s="160">
        <f>-F31*4%</f>
        <v>-1198.8856812442984</v>
      </c>
      <c r="G33" s="104">
        <f t="shared" ref="G33" si="11">-G32*4%</f>
        <v>0</v>
      </c>
    </row>
    <row r="34" spans="1:8" s="58" customFormat="1" x14ac:dyDescent="0.2">
      <c r="C34" s="128" t="s">
        <v>258</v>
      </c>
      <c r="D34" s="109">
        <f>SUM(D31:D33)</f>
        <v>50296.090260018616</v>
      </c>
      <c r="E34" s="109">
        <f t="shared" ref="E34:G34" si="12">SUM(E31:E33)</f>
        <v>52956.773862753471</v>
      </c>
      <c r="F34" s="109">
        <f t="shared" si="12"/>
        <v>42754.68437060147</v>
      </c>
      <c r="G34" s="109">
        <f t="shared" si="12"/>
        <v>0</v>
      </c>
    </row>
    <row r="35" spans="1:8" s="58" customFormat="1" x14ac:dyDescent="0.2">
      <c r="C35" s="107" t="s">
        <v>259</v>
      </c>
      <c r="D35" s="104">
        <f>D30*9%</f>
        <v>20764.951325416703</v>
      </c>
      <c r="E35" s="104">
        <f t="shared" ref="E35:G35" si="13">E30*9%</f>
        <v>21746.351014950051</v>
      </c>
      <c r="F35" s="104">
        <f t="shared" si="13"/>
        <v>17983.285218664474</v>
      </c>
      <c r="G35" s="104">
        <f t="shared" si="13"/>
        <v>0</v>
      </c>
    </row>
    <row r="36" spans="1:8" s="58" customFormat="1" x14ac:dyDescent="0.2">
      <c r="C36" s="108" t="s">
        <v>263</v>
      </c>
      <c r="D36" s="109">
        <f>SUM(D34:D35)</f>
        <v>71061.04158543532</v>
      </c>
      <c r="E36" s="109">
        <f t="shared" ref="E36:G36" si="14">SUM(E34:E35)</f>
        <v>74703.124877703522</v>
      </c>
      <c r="F36" s="109">
        <f t="shared" si="14"/>
        <v>60737.969589265944</v>
      </c>
      <c r="G36" s="109">
        <f t="shared" si="14"/>
        <v>0</v>
      </c>
      <c r="H36" s="113"/>
    </row>
    <row r="37" spans="1:8" s="58" customFormat="1" x14ac:dyDescent="0.2">
      <c r="C37" s="103"/>
      <c r="D37" s="103"/>
      <c r="E37" s="103"/>
      <c r="F37" s="103"/>
      <c r="G37" s="103"/>
    </row>
    <row r="38" spans="1:8" s="163" customFormat="1" ht="13.5" thickBot="1" x14ac:dyDescent="0.25"/>
    <row r="39" spans="1:8" s="58" customFormat="1" ht="21" customHeight="1" x14ac:dyDescent="0.25">
      <c r="A39" s="113" t="s">
        <v>233</v>
      </c>
      <c r="B39" s="162" t="s">
        <v>328</v>
      </c>
    </row>
    <row r="40" spans="1:8" s="58" customFormat="1" x14ac:dyDescent="0.2">
      <c r="D40" s="165"/>
      <c r="E40" s="165"/>
      <c r="F40" s="165"/>
      <c r="G40" s="165"/>
    </row>
    <row r="41" spans="1:8" s="58" customFormat="1" x14ac:dyDescent="0.2">
      <c r="C41" s="164" t="s">
        <v>329</v>
      </c>
      <c r="D41" s="160">
        <v>380951.9</v>
      </c>
      <c r="E41" s="160">
        <v>558509.80999999994</v>
      </c>
      <c r="F41" s="160">
        <v>666480.89000000013</v>
      </c>
      <c r="G41" s="160">
        <v>-166565.97999999998</v>
      </c>
    </row>
    <row r="42" spans="1:8" s="58" customFormat="1" x14ac:dyDescent="0.2">
      <c r="C42" s="58" t="s">
        <v>330</v>
      </c>
      <c r="D42" s="58">
        <v>23073.439999999999</v>
      </c>
      <c r="E42" s="58">
        <v>416065.05999999994</v>
      </c>
      <c r="F42" s="58">
        <v>614826.51000000013</v>
      </c>
      <c r="G42" s="58">
        <v>695465.7300000001</v>
      </c>
    </row>
    <row r="43" spans="1:8" s="58" customFormat="1" x14ac:dyDescent="0.2">
      <c r="C43" s="164" t="s">
        <v>331</v>
      </c>
      <c r="D43" s="160">
        <v>-52404.396598597959</v>
      </c>
      <c r="E43" s="160">
        <v>-600867.59000000008</v>
      </c>
      <c r="F43" s="160">
        <v>-965713.8323990783</v>
      </c>
      <c r="G43" s="160">
        <v>-835761.48</v>
      </c>
    </row>
    <row r="44" spans="1:8" s="58" customFormat="1" x14ac:dyDescent="0.2">
      <c r="B44" s="96"/>
      <c r="C44" s="97" t="s">
        <v>261</v>
      </c>
      <c r="D44" s="98">
        <f>SUM(D41:D43)</f>
        <v>351620.9434014021</v>
      </c>
      <c r="E44" s="98">
        <f t="shared" ref="E44" si="15">SUM(E41:E43)</f>
        <v>373707.2799999998</v>
      </c>
      <c r="F44" s="98">
        <f t="shared" ref="F44" si="16">SUM(F41:F43)</f>
        <v>315593.56760092208</v>
      </c>
      <c r="G44" s="98">
        <f t="shared" ref="G44" si="17">SUM(G41:G43)</f>
        <v>-306861.72999999986</v>
      </c>
    </row>
    <row r="45" spans="1:8" s="58" customFormat="1" x14ac:dyDescent="0.2">
      <c r="B45" s="96"/>
      <c r="C45" s="105" t="s">
        <v>260</v>
      </c>
      <c r="D45" s="161">
        <v>0</v>
      </c>
      <c r="E45" s="161">
        <v>0</v>
      </c>
      <c r="F45" s="161">
        <v>0</v>
      </c>
      <c r="G45" s="106">
        <f>IF(G44&gt;0,MIN(G31,G44),0)</f>
        <v>0</v>
      </c>
    </row>
    <row r="46" spans="1:8" s="58" customFormat="1" x14ac:dyDescent="0.2">
      <c r="B46" s="96"/>
      <c r="C46" s="100" t="s">
        <v>262</v>
      </c>
      <c r="D46" s="98">
        <f>IF(D44&gt;0,D44+D45,0)</f>
        <v>351620.9434014021</v>
      </c>
      <c r="E46" s="98">
        <f>IF(E44&gt;0,E44+E45,0)</f>
        <v>373707.2799999998</v>
      </c>
      <c r="F46" s="98">
        <f>IF(F44&gt;0,F44+F45,0)</f>
        <v>315593.56760092208</v>
      </c>
      <c r="G46" s="98">
        <f t="shared" ref="G46" si="18">IF(G44&gt;0,G44-G45,0)</f>
        <v>0</v>
      </c>
    </row>
    <row r="47" spans="1:8" s="58" customFormat="1" x14ac:dyDescent="0.2">
      <c r="C47" s="102" t="s">
        <v>253</v>
      </c>
      <c r="D47" s="160">
        <f>-D46*30%</f>
        <v>-105486.28302042063</v>
      </c>
      <c r="E47" s="160">
        <f t="shared" ref="E47:G47" si="19">-E46*30%</f>
        <v>-112112.18399999994</v>
      </c>
      <c r="F47" s="160">
        <f t="shared" si="19"/>
        <v>-94678.070280276617</v>
      </c>
      <c r="G47" s="160">
        <f t="shared" si="19"/>
        <v>0</v>
      </c>
    </row>
    <row r="48" spans="1:8" s="58" customFormat="1" x14ac:dyDescent="0.2">
      <c r="C48" s="97" t="s">
        <v>254</v>
      </c>
      <c r="D48" s="101">
        <f>SUM(D46:D47)</f>
        <v>246134.66038098146</v>
      </c>
      <c r="E48" s="101">
        <f>SUM(E46:E47)</f>
        <v>261595.09599999984</v>
      </c>
      <c r="F48" s="101">
        <f>SUM(F46:F47)</f>
        <v>220915.49732064546</v>
      </c>
      <c r="G48" s="99">
        <f t="shared" ref="G48" si="20">G46-G47</f>
        <v>0</v>
      </c>
    </row>
    <row r="49" spans="3:8" s="58" customFormat="1" x14ac:dyDescent="0.2">
      <c r="C49" s="100" t="s">
        <v>255</v>
      </c>
      <c r="D49" s="101">
        <f>D48*15%</f>
        <v>36920.19905714722</v>
      </c>
      <c r="E49" s="99">
        <f t="shared" ref="E49:G49" si="21">E48*15%</f>
        <v>39239.264399999978</v>
      </c>
      <c r="F49" s="99">
        <f t="shared" si="21"/>
        <v>33137.32459809682</v>
      </c>
      <c r="G49" s="99">
        <f t="shared" si="21"/>
        <v>0</v>
      </c>
    </row>
    <row r="50" spans="3:8" s="58" customFormat="1" x14ac:dyDescent="0.2">
      <c r="C50" s="100" t="s">
        <v>256</v>
      </c>
      <c r="D50" s="99">
        <f>IF(D48&gt;60000,(D48-60000)*10%,0)</f>
        <v>18613.466038098148</v>
      </c>
      <c r="E50" s="99">
        <f t="shared" ref="E50:G50" si="22">IF(E48&gt;60000,(E48-60000)*10%,0)</f>
        <v>20159.509599999987</v>
      </c>
      <c r="F50" s="99">
        <f t="shared" si="22"/>
        <v>16091.549732064546</v>
      </c>
      <c r="G50" s="99">
        <f t="shared" si="22"/>
        <v>0</v>
      </c>
    </row>
    <row r="51" spans="3:8" s="58" customFormat="1" x14ac:dyDescent="0.2">
      <c r="C51" s="102" t="s">
        <v>257</v>
      </c>
      <c r="D51" s="160">
        <f>-D49*4%</f>
        <v>-1476.8079622858888</v>
      </c>
      <c r="E51" s="160">
        <f>-E49*4%</f>
        <v>-1569.5705759999992</v>
      </c>
      <c r="F51" s="160">
        <f>-F49*4%</f>
        <v>-1325.4929839238728</v>
      </c>
      <c r="G51" s="104">
        <f t="shared" ref="G51" si="23">-G50*4%</f>
        <v>0</v>
      </c>
    </row>
    <row r="52" spans="3:8" s="58" customFormat="1" x14ac:dyDescent="0.2">
      <c r="C52" s="128" t="s">
        <v>258</v>
      </c>
      <c r="D52" s="109">
        <f>SUM(D49:D51)</f>
        <v>54056.857132959478</v>
      </c>
      <c r="E52" s="109">
        <f t="shared" ref="E52:G52" si="24">SUM(E49:E51)</f>
        <v>57829.203423999963</v>
      </c>
      <c r="F52" s="109">
        <f t="shared" si="24"/>
        <v>47903.381346237489</v>
      </c>
      <c r="G52" s="109">
        <f t="shared" si="24"/>
        <v>0</v>
      </c>
    </row>
    <row r="53" spans="3:8" s="58" customFormat="1" x14ac:dyDescent="0.2">
      <c r="C53" s="107" t="s">
        <v>259</v>
      </c>
      <c r="D53" s="104">
        <f>D48*9%</f>
        <v>22152.119434288332</v>
      </c>
      <c r="E53" s="104">
        <f t="shared" ref="E53:G53" si="25">E48*9%</f>
        <v>23543.558639999985</v>
      </c>
      <c r="F53" s="104">
        <f t="shared" si="25"/>
        <v>19882.394758858092</v>
      </c>
      <c r="G53" s="104">
        <f t="shared" si="25"/>
        <v>0</v>
      </c>
    </row>
    <row r="54" spans="3:8" s="58" customFormat="1" x14ac:dyDescent="0.2">
      <c r="C54" s="108" t="s">
        <v>263</v>
      </c>
      <c r="D54" s="109">
        <f>SUM(D52:D53)</f>
        <v>76208.97656724781</v>
      </c>
      <c r="E54" s="109">
        <f t="shared" ref="E54:G54" si="26">SUM(E52:E53)</f>
        <v>81372.762063999951</v>
      </c>
      <c r="F54" s="109">
        <f t="shared" si="26"/>
        <v>67785.776105095574</v>
      </c>
      <c r="G54" s="109">
        <f t="shared" si="26"/>
        <v>0</v>
      </c>
      <c r="H54" s="113"/>
    </row>
  </sheetData>
  <sortState ref="C5:C90">
    <sortCondition ref="C5"/>
  </sortState>
  <pageMargins left="0.23622047244094491" right="0.23622047244094491" top="0.74803149606299213" bottom="0.74803149606299213" header="0.31496062992125984" footer="0.31496062992125984"/>
  <pageSetup paperSize="9" scale="99" orientation="portrait" r:id="rId1"/>
  <headerFooter>
    <oddFooter>&amp;C&amp;8____________________
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48462"/>
  <sheetViews>
    <sheetView tabSelected="1" zoomScaleNormal="100" workbookViewId="0">
      <selection activeCell="H10" sqref="H10"/>
    </sheetView>
  </sheetViews>
  <sheetFormatPr defaultRowHeight="12.75" x14ac:dyDescent="0.25"/>
  <cols>
    <col min="1" max="1" width="2.375" style="89" customWidth="1"/>
    <col min="2" max="2" width="6" style="90" customWidth="1"/>
    <col min="3" max="3" width="15.375" style="90" customWidth="1"/>
    <col min="4" max="4" width="6.875" style="90" customWidth="1"/>
    <col min="5" max="5" width="5.875" style="84" customWidth="1"/>
    <col min="6" max="6" width="16.25" style="91" bestFit="1" customWidth="1"/>
    <col min="7" max="7" width="11.5" style="91" customWidth="1"/>
    <col min="8" max="8" width="34.875" style="91" customWidth="1"/>
    <col min="9" max="9" width="14.625" style="90" customWidth="1"/>
    <col min="10" max="10" width="9.5" style="90" bestFit="1" customWidth="1"/>
    <col min="11" max="11" width="4.125" style="90" customWidth="1"/>
    <col min="12" max="12" width="11.75" style="90" bestFit="1" customWidth="1"/>
    <col min="13" max="13" width="5.375" style="90" customWidth="1"/>
    <col min="14" max="14" width="6.25" style="92" customWidth="1"/>
    <col min="15" max="15" width="7.5" style="92" customWidth="1"/>
    <col min="16" max="16" width="12.375" style="92" customWidth="1"/>
    <col min="17" max="17" width="2.875" style="90" bestFit="1" customWidth="1"/>
    <col min="18" max="16384" width="9" style="90"/>
  </cols>
  <sheetData>
    <row r="1" spans="1:17" s="29" customFormat="1" ht="18.75" x14ac:dyDescent="0.25">
      <c r="A1" s="32"/>
      <c r="C1" s="129" t="s">
        <v>102</v>
      </c>
      <c r="E1" s="19"/>
      <c r="F1" s="30"/>
      <c r="G1" s="30"/>
      <c r="H1" s="30"/>
      <c r="O1" s="33"/>
    </row>
    <row r="2" spans="1:17" s="29" customFormat="1" ht="15" x14ac:dyDescent="0.25">
      <c r="A2" s="32"/>
      <c r="C2" s="130" t="s">
        <v>97</v>
      </c>
      <c r="E2" s="19"/>
      <c r="F2" s="30"/>
      <c r="G2" s="30"/>
      <c r="H2" s="238"/>
      <c r="M2" s="237"/>
      <c r="O2" s="33"/>
    </row>
    <row r="3" spans="1:17" s="29" customFormat="1" ht="15" x14ac:dyDescent="0.25">
      <c r="A3" s="32"/>
      <c r="C3" s="130" t="s">
        <v>149</v>
      </c>
      <c r="E3" s="152"/>
      <c r="F3" s="30"/>
      <c r="G3" s="30"/>
      <c r="H3" s="30"/>
      <c r="N3" s="34"/>
      <c r="O3" s="33"/>
      <c r="P3" s="35"/>
    </row>
    <row r="4" spans="1:17" s="29" customFormat="1" ht="24" customHeight="1" x14ac:dyDescent="0.25">
      <c r="A4" s="32"/>
      <c r="E4" s="19"/>
      <c r="F4" s="30"/>
      <c r="G4" s="30"/>
      <c r="H4" s="30"/>
      <c r="O4" s="33"/>
      <c r="P4" s="33">
        <f>SUBTOTAL(9,P6:P100)</f>
        <v>38182.300219242206</v>
      </c>
      <c r="Q4" s="138" t="s">
        <v>326</v>
      </c>
    </row>
    <row r="5" spans="1:17" s="64" customFormat="1" ht="25.5" x14ac:dyDescent="0.25">
      <c r="A5" s="93"/>
      <c r="B5" s="55" t="s">
        <v>184</v>
      </c>
      <c r="C5" s="55" t="s">
        <v>1</v>
      </c>
      <c r="D5" s="55" t="s">
        <v>2</v>
      </c>
      <c r="E5" s="39" t="s">
        <v>4</v>
      </c>
      <c r="F5" s="39" t="s">
        <v>17</v>
      </c>
      <c r="G5" s="39" t="s">
        <v>377</v>
      </c>
      <c r="H5" s="39" t="s">
        <v>8</v>
      </c>
      <c r="I5" s="55" t="s">
        <v>10</v>
      </c>
      <c r="J5" s="55" t="s">
        <v>6</v>
      </c>
      <c r="K5" s="55" t="s">
        <v>103</v>
      </c>
      <c r="L5" s="55" t="s">
        <v>225</v>
      </c>
      <c r="M5" s="55" t="s">
        <v>11</v>
      </c>
      <c r="N5" s="55" t="s">
        <v>15</v>
      </c>
      <c r="O5" s="94" t="s">
        <v>13</v>
      </c>
      <c r="P5" s="55" t="s">
        <v>14</v>
      </c>
    </row>
    <row r="6" spans="1:17" s="20" customFormat="1" ht="24" x14ac:dyDescent="0.25">
      <c r="B6" s="20">
        <v>4</v>
      </c>
      <c r="C6" s="146" t="s">
        <v>18</v>
      </c>
      <c r="D6" s="146" t="s">
        <v>21</v>
      </c>
      <c r="E6" s="147"/>
      <c r="F6" s="147" t="s">
        <v>159</v>
      </c>
      <c r="G6" s="147"/>
      <c r="H6" s="147" t="s">
        <v>180</v>
      </c>
      <c r="I6" s="148" t="s">
        <v>22</v>
      </c>
      <c r="J6" s="149">
        <v>41419</v>
      </c>
      <c r="K6" s="150">
        <f t="shared" ref="K6" si="0">MONTH(J6)</f>
        <v>5</v>
      </c>
      <c r="L6" s="150" t="str">
        <f t="shared" ref="L6:L55" si="1">IF(K6&lt;=3,"1 TRIM",IF(K6&lt;=6,"2 TRIM",IF(K6&lt;=9,"3 TRIM","4 TRIM")))</f>
        <v>2 TRIM</v>
      </c>
      <c r="M6" s="148" t="s">
        <v>23</v>
      </c>
      <c r="N6" s="151">
        <v>1</v>
      </c>
      <c r="O6" s="151">
        <v>52.29</v>
      </c>
      <c r="P6" s="151">
        <f>N6*O6</f>
        <v>52.29</v>
      </c>
    </row>
    <row r="7" spans="1:17" s="20" customFormat="1" ht="24" x14ac:dyDescent="0.25">
      <c r="B7" s="20">
        <v>4</v>
      </c>
      <c r="C7" s="146" t="s">
        <v>18</v>
      </c>
      <c r="D7" s="146" t="s">
        <v>21</v>
      </c>
      <c r="E7" s="147"/>
      <c r="F7" s="147" t="s">
        <v>159</v>
      </c>
      <c r="G7" s="147"/>
      <c r="H7" s="147" t="s">
        <v>182</v>
      </c>
      <c r="I7" s="148" t="s">
        <v>22</v>
      </c>
      <c r="J7" s="149">
        <v>41419</v>
      </c>
      <c r="K7" s="150">
        <f t="shared" ref="K7:K62" si="2">MONTH(J7)</f>
        <v>5</v>
      </c>
      <c r="L7" s="150" t="str">
        <f t="shared" si="1"/>
        <v>2 TRIM</v>
      </c>
      <c r="M7" s="148" t="s">
        <v>23</v>
      </c>
      <c r="N7" s="151">
        <v>1</v>
      </c>
      <c r="O7" s="151">
        <v>48.15</v>
      </c>
      <c r="P7" s="151">
        <f t="shared" ref="P7:P54" si="3">IF(C7="",0,O7*N7)</f>
        <v>48.15</v>
      </c>
    </row>
    <row r="8" spans="1:17" s="20" customFormat="1" ht="24" x14ac:dyDescent="0.25">
      <c r="B8" s="20">
        <v>3</v>
      </c>
      <c r="C8" s="146" t="s">
        <v>18</v>
      </c>
      <c r="D8" s="146" t="s">
        <v>21</v>
      </c>
      <c r="E8" s="147"/>
      <c r="F8" s="147" t="s">
        <v>159</v>
      </c>
      <c r="G8" s="147"/>
      <c r="H8" s="147" t="s">
        <v>180</v>
      </c>
      <c r="I8" s="148" t="s">
        <v>22</v>
      </c>
      <c r="J8" s="149">
        <v>41402</v>
      </c>
      <c r="K8" s="150">
        <f t="shared" ref="K8" si="4">MONTH(J8)</f>
        <v>5</v>
      </c>
      <c r="L8" s="150" t="str">
        <f t="shared" si="1"/>
        <v>2 TRIM</v>
      </c>
      <c r="M8" s="148" t="s">
        <v>23</v>
      </c>
      <c r="N8" s="151">
        <v>1</v>
      </c>
      <c r="O8" s="151">
        <v>52.29</v>
      </c>
      <c r="P8" s="151">
        <f>N8*O8</f>
        <v>52.29</v>
      </c>
    </row>
    <row r="9" spans="1:17" s="20" customFormat="1" ht="24" customHeight="1" x14ac:dyDescent="0.25">
      <c r="B9" s="20">
        <v>3</v>
      </c>
      <c r="C9" s="146" t="s">
        <v>18</v>
      </c>
      <c r="D9" s="146" t="s">
        <v>21</v>
      </c>
      <c r="E9" s="147"/>
      <c r="F9" s="147" t="s">
        <v>159</v>
      </c>
      <c r="G9" s="147"/>
      <c r="H9" s="147" t="s">
        <v>181</v>
      </c>
      <c r="I9" s="148" t="s">
        <v>22</v>
      </c>
      <c r="J9" s="149">
        <v>41402</v>
      </c>
      <c r="K9" s="150">
        <f t="shared" si="2"/>
        <v>5</v>
      </c>
      <c r="L9" s="150" t="str">
        <f t="shared" si="1"/>
        <v>2 TRIM</v>
      </c>
      <c r="M9" s="148" t="s">
        <v>23</v>
      </c>
      <c r="N9" s="151">
        <v>1</v>
      </c>
      <c r="O9" s="151">
        <v>65</v>
      </c>
      <c r="P9" s="151">
        <f t="shared" si="3"/>
        <v>65</v>
      </c>
    </row>
    <row r="10" spans="1:17" s="20" customFormat="1" ht="24" customHeight="1" x14ac:dyDescent="0.25">
      <c r="B10" s="20">
        <v>3</v>
      </c>
      <c r="C10" s="146" t="s">
        <v>18</v>
      </c>
      <c r="D10" s="146" t="s">
        <v>21</v>
      </c>
      <c r="E10" s="147"/>
      <c r="F10" s="147" t="s">
        <v>159</v>
      </c>
      <c r="G10" s="147"/>
      <c r="H10" s="147" t="s">
        <v>182</v>
      </c>
      <c r="I10" s="148" t="s">
        <v>22</v>
      </c>
      <c r="J10" s="149">
        <v>41402</v>
      </c>
      <c r="K10" s="150">
        <f t="shared" si="2"/>
        <v>5</v>
      </c>
      <c r="L10" s="150" t="str">
        <f t="shared" si="1"/>
        <v>2 TRIM</v>
      </c>
      <c r="M10" s="148" t="s">
        <v>23</v>
      </c>
      <c r="N10" s="151">
        <v>1</v>
      </c>
      <c r="O10" s="151">
        <v>48.15</v>
      </c>
      <c r="P10" s="151">
        <f t="shared" si="3"/>
        <v>48.15</v>
      </c>
    </row>
    <row r="11" spans="1:17" s="20" customFormat="1" ht="24" customHeight="1" x14ac:dyDescent="0.25">
      <c r="B11" s="20">
        <v>5</v>
      </c>
      <c r="C11" s="146" t="s">
        <v>18</v>
      </c>
      <c r="D11" s="146" t="s">
        <v>21</v>
      </c>
      <c r="E11" s="147"/>
      <c r="F11" s="147" t="s">
        <v>159</v>
      </c>
      <c r="G11" s="147"/>
      <c r="H11" s="147" t="s">
        <v>160</v>
      </c>
      <c r="I11" s="148" t="s">
        <v>22</v>
      </c>
      <c r="J11" s="149">
        <v>41513</v>
      </c>
      <c r="K11" s="150">
        <f t="shared" si="2"/>
        <v>8</v>
      </c>
      <c r="L11" s="150" t="str">
        <f t="shared" si="1"/>
        <v>3 TRIM</v>
      </c>
      <c r="M11" s="148" t="s">
        <v>23</v>
      </c>
      <c r="N11" s="151">
        <v>1</v>
      </c>
      <c r="O11" s="151">
        <v>120</v>
      </c>
      <c r="P11" s="151">
        <f t="shared" si="3"/>
        <v>120</v>
      </c>
    </row>
    <row r="12" spans="1:17" s="20" customFormat="1" ht="24" customHeight="1" x14ac:dyDescent="0.25">
      <c r="B12" s="20">
        <v>84</v>
      </c>
      <c r="C12" s="152" t="s">
        <v>64</v>
      </c>
      <c r="D12" s="152" t="s">
        <v>65</v>
      </c>
      <c r="E12" s="153" t="s">
        <v>19</v>
      </c>
      <c r="F12" s="153" t="s">
        <v>318</v>
      </c>
      <c r="G12" s="153" t="str">
        <f>VLOOKUP(F12,'Salário e Custo Hora'!$B$48:$C$52,2,FALSE)</f>
        <v>Graduado</v>
      </c>
      <c r="H12" s="153" t="s">
        <v>219</v>
      </c>
      <c r="I12" s="148" t="s">
        <v>251</v>
      </c>
      <c r="J12" s="154">
        <v>41309</v>
      </c>
      <c r="K12" s="155">
        <f t="shared" si="2"/>
        <v>2</v>
      </c>
      <c r="L12" s="150" t="str">
        <f t="shared" si="1"/>
        <v>1 TRIM</v>
      </c>
      <c r="M12" s="156" t="s">
        <v>12</v>
      </c>
      <c r="N12" s="157">
        <f>5/60</f>
        <v>8.3333333333333329E-2</v>
      </c>
      <c r="O12" s="157">
        <f>IF(ISNA(VLOOKUP($F12,'Salário e Custo Hora'!$B$28:$P$32,3+Investimentos!$K12,FALSE)),0,VLOOKUP($F12,'Salário e Custo Hora'!$B$28:$P$32,3+Investimentos!$K12,FALSE))</f>
        <v>16.838996400189988</v>
      </c>
      <c r="P12" s="151">
        <f>IF(C12="",0,O12*N12)</f>
        <v>1.4032497000158322</v>
      </c>
    </row>
    <row r="13" spans="1:17" s="20" customFormat="1" ht="24" customHeight="1" x14ac:dyDescent="0.25">
      <c r="B13" s="20">
        <v>84</v>
      </c>
      <c r="C13" s="203" t="s">
        <v>18</v>
      </c>
      <c r="D13" s="146"/>
      <c r="E13" s="147" t="s">
        <v>20</v>
      </c>
      <c r="F13" s="153" t="s">
        <v>318</v>
      </c>
      <c r="G13" s="153" t="str">
        <f>VLOOKUP(F13,'Salário e Custo Hora'!$B$48:$C$52,2,FALSE)</f>
        <v>Graduado</v>
      </c>
      <c r="H13" s="153" t="s">
        <v>219</v>
      </c>
      <c r="I13" s="148" t="s">
        <v>251</v>
      </c>
      <c r="J13" s="149">
        <v>41309</v>
      </c>
      <c r="K13" s="150">
        <f t="shared" si="2"/>
        <v>2</v>
      </c>
      <c r="L13" s="150" t="str">
        <f t="shared" si="1"/>
        <v>1 TRIM</v>
      </c>
      <c r="M13" s="148" t="s">
        <v>12</v>
      </c>
      <c r="N13" s="151">
        <f>5/60</f>
        <v>8.3333333333333329E-2</v>
      </c>
      <c r="O13" s="157">
        <f>IF(ISNA(VLOOKUP($F13,'Salário e Custo Hora'!$B$28:$P$32,3+Investimentos!$K13,FALSE)),0,VLOOKUP($F13,'Salário e Custo Hora'!$B$28:$P$32,3+Investimentos!$K13,FALSE))</f>
        <v>16.838996400189988</v>
      </c>
      <c r="P13" s="151">
        <f t="shared" si="3"/>
        <v>1.4032497000158322</v>
      </c>
    </row>
    <row r="14" spans="1:17" s="20" customFormat="1" ht="24" customHeight="1" x14ac:dyDescent="0.25">
      <c r="B14" s="20">
        <v>84</v>
      </c>
      <c r="C14" s="203" t="s">
        <v>64</v>
      </c>
      <c r="D14" s="203" t="s">
        <v>65</v>
      </c>
      <c r="E14" s="204" t="s">
        <v>120</v>
      </c>
      <c r="F14" s="153" t="s">
        <v>318</v>
      </c>
      <c r="G14" s="153" t="str">
        <f>VLOOKUP(F14,'Salário e Custo Hora'!$B$48:$C$52,2,FALSE)</f>
        <v>Graduado</v>
      </c>
      <c r="H14" s="204" t="s">
        <v>219</v>
      </c>
      <c r="I14" s="205" t="s">
        <v>251</v>
      </c>
      <c r="J14" s="206">
        <v>41323</v>
      </c>
      <c r="K14" s="207">
        <f t="shared" si="2"/>
        <v>2</v>
      </c>
      <c r="L14" s="207" t="str">
        <f t="shared" si="1"/>
        <v>1 TRIM</v>
      </c>
      <c r="M14" s="205" t="s">
        <v>12</v>
      </c>
      <c r="N14" s="208">
        <v>3</v>
      </c>
      <c r="O14" s="157">
        <f>IF(ISNA(VLOOKUP($F14,'Salário e Custo Hora'!$B$28:$P$32,3+Investimentos!$K14,FALSE)),0,VLOOKUP($F14,'Salário e Custo Hora'!$B$28:$P$32,3+Investimentos!$K14,FALSE))</f>
        <v>16.838996400189988</v>
      </c>
      <c r="P14" s="151">
        <f t="shared" si="3"/>
        <v>50.516989200569967</v>
      </c>
    </row>
    <row r="15" spans="1:17" s="20" customFormat="1" ht="24" customHeight="1" x14ac:dyDescent="0.25">
      <c r="B15" s="20">
        <v>84</v>
      </c>
      <c r="C15" s="203" t="s">
        <v>18</v>
      </c>
      <c r="D15" s="203"/>
      <c r="E15" s="203" t="s">
        <v>125</v>
      </c>
      <c r="F15" s="153" t="s">
        <v>318</v>
      </c>
      <c r="G15" s="153" t="str">
        <f>VLOOKUP(F15,'Salário e Custo Hora'!$B$48:$C$52,2,FALSE)</f>
        <v>Graduado</v>
      </c>
      <c r="H15" s="203" t="s">
        <v>219</v>
      </c>
      <c r="I15" s="203" t="s">
        <v>251</v>
      </c>
      <c r="J15" s="206">
        <v>41325</v>
      </c>
      <c r="K15" s="207">
        <f t="shared" si="2"/>
        <v>2</v>
      </c>
      <c r="L15" s="207" t="str">
        <f t="shared" si="1"/>
        <v>1 TRIM</v>
      </c>
      <c r="M15" s="205" t="s">
        <v>12</v>
      </c>
      <c r="N15" s="208">
        <f>40/60</f>
        <v>0.66666666666666663</v>
      </c>
      <c r="O15" s="157">
        <f>IF(ISNA(VLOOKUP($F15,'Salário e Custo Hora'!$B$28:$P$32,3+Investimentos!$K15,FALSE)),0,VLOOKUP($F15,'Salário e Custo Hora'!$B$28:$P$32,3+Investimentos!$K15,FALSE))</f>
        <v>16.838996400189988</v>
      </c>
      <c r="P15" s="151">
        <f t="shared" si="3"/>
        <v>11.225997600126657</v>
      </c>
    </row>
    <row r="16" spans="1:17" s="20" customFormat="1" ht="24" customHeight="1" x14ac:dyDescent="0.25">
      <c r="B16" s="20">
        <v>84</v>
      </c>
      <c r="C16" s="146" t="s">
        <v>64</v>
      </c>
      <c r="D16" s="203" t="s">
        <v>65</v>
      </c>
      <c r="E16" s="204" t="s">
        <v>120</v>
      </c>
      <c r="F16" s="153" t="s">
        <v>318</v>
      </c>
      <c r="G16" s="153" t="str">
        <f>VLOOKUP(F16,'Salário e Custo Hora'!$B$48:$C$52,2,FALSE)</f>
        <v>Graduado</v>
      </c>
      <c r="H16" s="204" t="s">
        <v>126</v>
      </c>
      <c r="I16" s="205" t="s">
        <v>251</v>
      </c>
      <c r="J16" s="206">
        <v>41332</v>
      </c>
      <c r="K16" s="207">
        <f t="shared" si="2"/>
        <v>2</v>
      </c>
      <c r="L16" s="207" t="str">
        <f t="shared" si="1"/>
        <v>1 TRIM</v>
      </c>
      <c r="M16" s="205" t="s">
        <v>12</v>
      </c>
      <c r="N16" s="208">
        <f>75/60</f>
        <v>1.25</v>
      </c>
      <c r="O16" s="157">
        <f>IF(ISNA(VLOOKUP($F16,'Salário e Custo Hora'!$B$28:$P$32,3+Investimentos!$K16,FALSE)),0,VLOOKUP($F16,'Salário e Custo Hora'!$B$28:$P$32,3+Investimentos!$K16,FALSE))</f>
        <v>16.838996400189988</v>
      </c>
      <c r="P16" s="151">
        <f t="shared" si="3"/>
        <v>21.048745500237484</v>
      </c>
    </row>
    <row r="17" spans="2:16" s="20" customFormat="1" ht="24" customHeight="1" x14ac:dyDescent="0.25">
      <c r="B17" s="20">
        <v>84</v>
      </c>
      <c r="C17" s="146" t="s">
        <v>18</v>
      </c>
      <c r="D17" s="146"/>
      <c r="E17" s="147" t="s">
        <v>81</v>
      </c>
      <c r="F17" s="153" t="s">
        <v>318</v>
      </c>
      <c r="G17" s="153" t="str">
        <f>VLOOKUP(F17,'Salário e Custo Hora'!$B$48:$C$52,2,FALSE)</f>
        <v>Graduado</v>
      </c>
      <c r="H17" s="147" t="s">
        <v>126</v>
      </c>
      <c r="I17" s="148" t="s">
        <v>251</v>
      </c>
      <c r="J17" s="149">
        <v>41360</v>
      </c>
      <c r="K17" s="150">
        <f t="shared" si="2"/>
        <v>3</v>
      </c>
      <c r="L17" s="150" t="str">
        <f t="shared" si="1"/>
        <v>1 TRIM</v>
      </c>
      <c r="M17" s="148" t="s">
        <v>12</v>
      </c>
      <c r="N17" s="151">
        <f>65/60</f>
        <v>1.0833333333333333</v>
      </c>
      <c r="O17" s="157">
        <f>IF(ISNA(VLOOKUP($F17,'Salário e Custo Hora'!$B$28:$P$32,3+Investimentos!$K17,FALSE)),0,VLOOKUP($F17,'Salário e Custo Hora'!$B$28:$P$32,3+Investimentos!$K17,FALSE))</f>
        <v>16.838996400189988</v>
      </c>
      <c r="P17" s="151">
        <f t="shared" si="3"/>
        <v>18.242246100205818</v>
      </c>
    </row>
    <row r="18" spans="2:16" s="20" customFormat="1" ht="24" customHeight="1" x14ac:dyDescent="0.25">
      <c r="B18" s="20">
        <v>84</v>
      </c>
      <c r="C18" s="146" t="s">
        <v>18</v>
      </c>
      <c r="D18" s="146"/>
      <c r="E18" s="147" t="s">
        <v>127</v>
      </c>
      <c r="F18" s="153" t="s">
        <v>318</v>
      </c>
      <c r="G18" s="153" t="str">
        <f>VLOOKUP(F18,'Salário e Custo Hora'!$B$48:$C$52,2,FALSE)</f>
        <v>Graduado</v>
      </c>
      <c r="H18" s="153" t="s">
        <v>219</v>
      </c>
      <c r="I18" s="148" t="s">
        <v>251</v>
      </c>
      <c r="J18" s="149">
        <v>41339</v>
      </c>
      <c r="K18" s="150">
        <f t="shared" si="2"/>
        <v>3</v>
      </c>
      <c r="L18" s="150" t="str">
        <f t="shared" si="1"/>
        <v>1 TRIM</v>
      </c>
      <c r="M18" s="148" t="s">
        <v>12</v>
      </c>
      <c r="N18" s="151">
        <f>40/60</f>
        <v>0.66666666666666663</v>
      </c>
      <c r="O18" s="157">
        <f>IF(ISNA(VLOOKUP($F18,'Salário e Custo Hora'!$B$28:$P$32,3+Investimentos!$K18,FALSE)),0,VLOOKUP($F18,'Salário e Custo Hora'!$B$28:$P$32,3+Investimentos!$K18,FALSE))</f>
        <v>16.838996400189988</v>
      </c>
      <c r="P18" s="151">
        <f t="shared" si="3"/>
        <v>11.225997600126657</v>
      </c>
    </row>
    <row r="19" spans="2:16" s="20" customFormat="1" ht="24" customHeight="1" x14ac:dyDescent="0.25">
      <c r="B19" s="20">
        <v>84</v>
      </c>
      <c r="C19" s="146" t="s">
        <v>18</v>
      </c>
      <c r="D19" s="146"/>
      <c r="E19" s="147" t="s">
        <v>128</v>
      </c>
      <c r="F19" s="153" t="s">
        <v>318</v>
      </c>
      <c r="G19" s="153" t="str">
        <f>VLOOKUP(F19,'Salário e Custo Hora'!$B$48:$C$52,2,FALSE)</f>
        <v>Graduado</v>
      </c>
      <c r="H19" s="147" t="s">
        <v>126</v>
      </c>
      <c r="I19" s="148" t="s">
        <v>251</v>
      </c>
      <c r="J19" s="149">
        <v>41360</v>
      </c>
      <c r="K19" s="150">
        <f t="shared" si="2"/>
        <v>3</v>
      </c>
      <c r="L19" s="150" t="str">
        <f t="shared" si="1"/>
        <v>1 TRIM</v>
      </c>
      <c r="M19" s="148" t="s">
        <v>12</v>
      </c>
      <c r="N19" s="151">
        <f>5/60</f>
        <v>8.3333333333333329E-2</v>
      </c>
      <c r="O19" s="157">
        <f>IF(ISNA(VLOOKUP($F19,'Salário e Custo Hora'!$B$28:$P$32,3+Investimentos!$K19,FALSE)),0,VLOOKUP($F19,'Salário e Custo Hora'!$B$28:$P$32,3+Investimentos!$K19,FALSE))</f>
        <v>16.838996400189988</v>
      </c>
      <c r="P19" s="151">
        <f t="shared" si="3"/>
        <v>1.4032497000158322</v>
      </c>
    </row>
    <row r="20" spans="2:16" s="20" customFormat="1" ht="24" customHeight="1" x14ac:dyDescent="0.25">
      <c r="B20" s="20">
        <v>84</v>
      </c>
      <c r="C20" s="146" t="s">
        <v>64</v>
      </c>
      <c r="D20" s="146" t="s">
        <v>65</v>
      </c>
      <c r="E20" s="147" t="s">
        <v>129</v>
      </c>
      <c r="F20" s="153" t="s">
        <v>318</v>
      </c>
      <c r="G20" s="153" t="str">
        <f>VLOOKUP(F20,'Salário e Custo Hora'!$B$48:$C$52,2,FALSE)</f>
        <v>Graduado</v>
      </c>
      <c r="H20" s="147" t="s">
        <v>126</v>
      </c>
      <c r="I20" s="148" t="s">
        <v>251</v>
      </c>
      <c r="J20" s="149">
        <v>41419</v>
      </c>
      <c r="K20" s="150">
        <f t="shared" si="2"/>
        <v>5</v>
      </c>
      <c r="L20" s="150" t="str">
        <f t="shared" si="1"/>
        <v>2 TRIM</v>
      </c>
      <c r="M20" s="148" t="s">
        <v>12</v>
      </c>
      <c r="N20" s="151">
        <f>15/60</f>
        <v>0.25</v>
      </c>
      <c r="O20" s="157">
        <f>IF(ISNA(VLOOKUP($F20,'Salário e Custo Hora'!$B$28:$P$32,3+Investimentos!$K20,FALSE)),0,VLOOKUP($F20,'Salário e Custo Hora'!$B$28:$P$32,3+Investimentos!$K20,FALSE))</f>
        <v>16.037139428752372</v>
      </c>
      <c r="P20" s="151">
        <f t="shared" si="3"/>
        <v>4.009284857188093</v>
      </c>
    </row>
    <row r="21" spans="2:16" s="20" customFormat="1" ht="24" customHeight="1" x14ac:dyDescent="0.25">
      <c r="B21" s="20">
        <v>84</v>
      </c>
      <c r="C21" s="146" t="s">
        <v>18</v>
      </c>
      <c r="D21" s="146"/>
      <c r="E21" s="147" t="s">
        <v>81</v>
      </c>
      <c r="F21" s="153" t="s">
        <v>318</v>
      </c>
      <c r="G21" s="153" t="str">
        <f>VLOOKUP(F21,'Salário e Custo Hora'!$B$48:$C$52,2,FALSE)</f>
        <v>Graduado</v>
      </c>
      <c r="H21" s="147" t="s">
        <v>126</v>
      </c>
      <c r="I21" s="148" t="s">
        <v>251</v>
      </c>
      <c r="J21" s="149">
        <v>41452</v>
      </c>
      <c r="K21" s="150">
        <f t="shared" si="2"/>
        <v>6</v>
      </c>
      <c r="L21" s="150" t="str">
        <f t="shared" si="1"/>
        <v>2 TRIM</v>
      </c>
      <c r="M21" s="148" t="s">
        <v>12</v>
      </c>
      <c r="N21" s="151">
        <f>15/60</f>
        <v>0.25</v>
      </c>
      <c r="O21" s="157">
        <f>IF(ISNA(VLOOKUP($F21,'Salário e Custo Hora'!$B$28:$P$32,3+Investimentos!$K21,FALSE)),0,VLOOKUP($F21,'Salário e Custo Hora'!$B$28:$P$32,3+Investimentos!$K21,FALSE))</f>
        <v>16.838996400189988</v>
      </c>
      <c r="P21" s="151">
        <f t="shared" si="3"/>
        <v>4.2097491000474969</v>
      </c>
    </row>
    <row r="22" spans="2:16" s="20" customFormat="1" ht="24" customHeight="1" x14ac:dyDescent="0.25">
      <c r="B22" s="20">
        <v>84</v>
      </c>
      <c r="C22" s="146" t="s">
        <v>18</v>
      </c>
      <c r="D22" s="146"/>
      <c r="E22" s="147" t="s">
        <v>128</v>
      </c>
      <c r="F22" s="153" t="s">
        <v>318</v>
      </c>
      <c r="G22" s="153" t="str">
        <f>VLOOKUP(F22,'Salário e Custo Hora'!$B$48:$C$52,2,FALSE)</f>
        <v>Graduado</v>
      </c>
      <c r="H22" s="147" t="s">
        <v>126</v>
      </c>
      <c r="I22" s="148" t="s">
        <v>251</v>
      </c>
      <c r="J22" s="149">
        <v>41452</v>
      </c>
      <c r="K22" s="150">
        <f t="shared" si="2"/>
        <v>6</v>
      </c>
      <c r="L22" s="150" t="str">
        <f t="shared" si="1"/>
        <v>2 TRIM</v>
      </c>
      <c r="M22" s="148" t="s">
        <v>12</v>
      </c>
      <c r="N22" s="151">
        <f>5/60</f>
        <v>8.3333333333333329E-2</v>
      </c>
      <c r="O22" s="157">
        <f>IF(ISNA(VLOOKUP($F22,'Salário e Custo Hora'!$B$28:$P$32,3+Investimentos!$K22,FALSE)),0,VLOOKUP($F22,'Salário e Custo Hora'!$B$28:$P$32,3+Investimentos!$K22,FALSE))</f>
        <v>16.838996400189988</v>
      </c>
      <c r="P22" s="151">
        <f t="shared" si="3"/>
        <v>1.4032497000158322</v>
      </c>
    </row>
    <row r="23" spans="2:16" s="20" customFormat="1" ht="24" customHeight="1" x14ac:dyDescent="0.25">
      <c r="B23" s="20">
        <v>84</v>
      </c>
      <c r="C23" s="146" t="s">
        <v>18</v>
      </c>
      <c r="D23" s="146" t="s">
        <v>0</v>
      </c>
      <c r="E23" s="147" t="s">
        <v>130</v>
      </c>
      <c r="F23" s="153" t="s">
        <v>318</v>
      </c>
      <c r="G23" s="153" t="str">
        <f>VLOOKUP(F23,'Salário e Custo Hora'!$B$48:$C$52,2,FALSE)</f>
        <v>Graduado</v>
      </c>
      <c r="H23" s="147" t="s">
        <v>123</v>
      </c>
      <c r="I23" s="148" t="s">
        <v>251</v>
      </c>
      <c r="J23" s="149">
        <v>41465</v>
      </c>
      <c r="K23" s="150">
        <f t="shared" si="2"/>
        <v>7</v>
      </c>
      <c r="L23" s="150" t="str">
        <f t="shared" si="1"/>
        <v>3 TRIM</v>
      </c>
      <c r="M23" s="148" t="s">
        <v>12</v>
      </c>
      <c r="N23" s="151">
        <v>3</v>
      </c>
      <c r="O23" s="157">
        <f>IF(ISNA(VLOOKUP($F23,'Salário e Custo Hora'!$B$28:$P$32,3+Investimentos!$K23,FALSE)),0,VLOOKUP($F23,'Salário e Custo Hora'!$B$28:$P$32,3+Investimentos!$K23,FALSE))</f>
        <v>14.642605565382599</v>
      </c>
      <c r="P23" s="151">
        <f t="shared" si="3"/>
        <v>43.927816696147801</v>
      </c>
    </row>
    <row r="24" spans="2:16" s="20" customFormat="1" ht="24" customHeight="1" x14ac:dyDescent="0.25">
      <c r="B24" s="20">
        <v>84</v>
      </c>
      <c r="C24" s="146" t="s">
        <v>18</v>
      </c>
      <c r="D24" s="146" t="s">
        <v>0</v>
      </c>
      <c r="E24" s="147" t="s">
        <v>131</v>
      </c>
      <c r="F24" s="153" t="s">
        <v>318</v>
      </c>
      <c r="G24" s="153" t="str">
        <f>VLOOKUP(F24,'Salário e Custo Hora'!$B$48:$C$52,2,FALSE)</f>
        <v>Graduado</v>
      </c>
      <c r="H24" s="147" t="s">
        <v>123</v>
      </c>
      <c r="I24" s="148" t="s">
        <v>251</v>
      </c>
      <c r="J24" s="149">
        <v>41465</v>
      </c>
      <c r="K24" s="150">
        <f t="shared" si="2"/>
        <v>7</v>
      </c>
      <c r="L24" s="150" t="str">
        <f t="shared" si="1"/>
        <v>3 TRIM</v>
      </c>
      <c r="M24" s="148" t="s">
        <v>12</v>
      </c>
      <c r="N24" s="151">
        <v>3</v>
      </c>
      <c r="O24" s="157">
        <f>IF(ISNA(VLOOKUP($F24,'Salário e Custo Hora'!$B$28:$P$32,3+Investimentos!$K24,FALSE)),0,VLOOKUP($F24,'Salário e Custo Hora'!$B$28:$P$32,3+Investimentos!$K24,FALSE))</f>
        <v>14.642605565382599</v>
      </c>
      <c r="P24" s="151">
        <f t="shared" si="3"/>
        <v>43.927816696147801</v>
      </c>
    </row>
    <row r="25" spans="2:16" s="20" customFormat="1" ht="24" customHeight="1" x14ac:dyDescent="0.25">
      <c r="B25" s="20">
        <v>84</v>
      </c>
      <c r="C25" s="146" t="s">
        <v>18</v>
      </c>
      <c r="D25" s="146" t="s">
        <v>0</v>
      </c>
      <c r="E25" s="147" t="s">
        <v>16</v>
      </c>
      <c r="F25" s="153" t="s">
        <v>318</v>
      </c>
      <c r="G25" s="153" t="str">
        <f>VLOOKUP(F25,'Salário e Custo Hora'!$B$48:$C$52,2,FALSE)</f>
        <v>Graduado</v>
      </c>
      <c r="H25" s="147" t="s">
        <v>123</v>
      </c>
      <c r="I25" s="148" t="s">
        <v>251</v>
      </c>
      <c r="J25" s="149">
        <v>41465</v>
      </c>
      <c r="K25" s="150">
        <f t="shared" si="2"/>
        <v>7</v>
      </c>
      <c r="L25" s="150" t="str">
        <f t="shared" si="1"/>
        <v>3 TRIM</v>
      </c>
      <c r="M25" s="148" t="s">
        <v>12</v>
      </c>
      <c r="N25" s="151">
        <v>3</v>
      </c>
      <c r="O25" s="157">
        <f>IF(ISNA(VLOOKUP($F25,'Salário e Custo Hora'!$B$28:$P$32,3+Investimentos!$K25,FALSE)),0,VLOOKUP($F25,'Salário e Custo Hora'!$B$28:$P$32,3+Investimentos!$K25,FALSE))</f>
        <v>14.642605565382599</v>
      </c>
      <c r="P25" s="151">
        <f t="shared" si="3"/>
        <v>43.927816696147801</v>
      </c>
    </row>
    <row r="26" spans="2:16" s="20" customFormat="1" ht="24" customHeight="1" x14ac:dyDescent="0.25">
      <c r="B26" s="20">
        <v>84</v>
      </c>
      <c r="C26" s="146" t="s">
        <v>18</v>
      </c>
      <c r="D26" s="146" t="s">
        <v>21</v>
      </c>
      <c r="E26" s="147"/>
      <c r="F26" s="153" t="s">
        <v>318</v>
      </c>
      <c r="G26" s="153" t="str">
        <f>VLOOKUP(F26,'Salário e Custo Hora'!$B$48:$C$52,2,FALSE)</f>
        <v>Graduado</v>
      </c>
      <c r="H26" s="147" t="s">
        <v>220</v>
      </c>
      <c r="I26" s="148" t="s">
        <v>251</v>
      </c>
      <c r="J26" s="149">
        <v>41478</v>
      </c>
      <c r="K26" s="150">
        <f t="shared" si="2"/>
        <v>7</v>
      </c>
      <c r="L26" s="150" t="str">
        <f t="shared" si="1"/>
        <v>3 TRIM</v>
      </c>
      <c r="M26" s="148" t="s">
        <v>12</v>
      </c>
      <c r="N26" s="151">
        <f>45/60</f>
        <v>0.75</v>
      </c>
      <c r="O26" s="157">
        <f>IF(ISNA(VLOOKUP($F26,'Salário e Custo Hora'!$B$28:$P$32,3+Investimentos!$K26,FALSE)),0,VLOOKUP($F26,'Salário e Custo Hora'!$B$28:$P$32,3+Investimentos!$K26,FALSE))</f>
        <v>14.642605565382599</v>
      </c>
      <c r="P26" s="151">
        <f t="shared" si="3"/>
        <v>10.98195417403695</v>
      </c>
    </row>
    <row r="27" spans="2:16" s="20" customFormat="1" ht="24" customHeight="1" x14ac:dyDescent="0.25">
      <c r="B27" s="20">
        <v>84</v>
      </c>
      <c r="C27" s="146" t="s">
        <v>18</v>
      </c>
      <c r="D27" s="146" t="s">
        <v>0</v>
      </c>
      <c r="E27" s="147" t="s">
        <v>133</v>
      </c>
      <c r="F27" s="153" t="s">
        <v>318</v>
      </c>
      <c r="G27" s="153" t="str">
        <f>VLOOKUP(F27,'Salário e Custo Hora'!$B$48:$C$52,2,FALSE)</f>
        <v>Graduado</v>
      </c>
      <c r="H27" s="147" t="s">
        <v>132</v>
      </c>
      <c r="I27" s="148" t="s">
        <v>251</v>
      </c>
      <c r="J27" s="149">
        <v>41499</v>
      </c>
      <c r="K27" s="150">
        <f t="shared" si="2"/>
        <v>8</v>
      </c>
      <c r="L27" s="150" t="str">
        <f t="shared" si="1"/>
        <v>3 TRIM</v>
      </c>
      <c r="M27" s="148" t="s">
        <v>12</v>
      </c>
      <c r="N27" s="151">
        <v>1</v>
      </c>
      <c r="O27" s="157">
        <f>IF(ISNA(VLOOKUP($F27,'Salário e Custo Hora'!$B$28:$P$32,3+Investimentos!$K27,FALSE)),0,VLOOKUP($F27,'Salário e Custo Hora'!$B$28:$P$32,3+Investimentos!$K27,FALSE))</f>
        <v>15.308178545627264</v>
      </c>
      <c r="P27" s="151">
        <f t="shared" si="3"/>
        <v>15.308178545627264</v>
      </c>
    </row>
    <row r="28" spans="2:16" s="20" customFormat="1" ht="24" customHeight="1" x14ac:dyDescent="0.25">
      <c r="B28" s="20">
        <v>84</v>
      </c>
      <c r="C28" s="146" t="s">
        <v>18</v>
      </c>
      <c r="D28" s="146" t="s">
        <v>0</v>
      </c>
      <c r="E28" s="147" t="s">
        <v>134</v>
      </c>
      <c r="F28" s="153" t="s">
        <v>318</v>
      </c>
      <c r="G28" s="153" t="str">
        <f>VLOOKUP(F28,'Salário e Custo Hora'!$B$48:$C$52,2,FALSE)</f>
        <v>Graduado</v>
      </c>
      <c r="H28" s="147" t="s">
        <v>132</v>
      </c>
      <c r="I28" s="148" t="s">
        <v>251</v>
      </c>
      <c r="J28" s="149">
        <v>41499</v>
      </c>
      <c r="K28" s="150">
        <f t="shared" si="2"/>
        <v>8</v>
      </c>
      <c r="L28" s="150" t="str">
        <f t="shared" si="1"/>
        <v>3 TRIM</v>
      </c>
      <c r="M28" s="148" t="s">
        <v>12</v>
      </c>
      <c r="N28" s="151">
        <v>1</v>
      </c>
      <c r="O28" s="157">
        <f>IF(ISNA(VLOOKUP($F28,'Salário e Custo Hora'!$B$28:$P$32,3+Investimentos!$K28,FALSE)),0,VLOOKUP($F28,'Salário e Custo Hora'!$B$28:$P$32,3+Investimentos!$K28,FALSE))</f>
        <v>15.308178545627264</v>
      </c>
      <c r="P28" s="151">
        <f t="shared" si="3"/>
        <v>15.308178545627264</v>
      </c>
    </row>
    <row r="29" spans="2:16" s="20" customFormat="1" ht="24" customHeight="1" x14ac:dyDescent="0.25">
      <c r="B29" s="20">
        <v>84</v>
      </c>
      <c r="C29" s="146" t="s">
        <v>18</v>
      </c>
      <c r="D29" s="146" t="s">
        <v>0</v>
      </c>
      <c r="E29" s="147" t="s">
        <v>117</v>
      </c>
      <c r="F29" s="153" t="s">
        <v>318</v>
      </c>
      <c r="G29" s="153" t="str">
        <f>VLOOKUP(F29,'Salário e Custo Hora'!$B$48:$C$52,2,FALSE)</f>
        <v>Graduado</v>
      </c>
      <c r="H29" s="147" t="s">
        <v>132</v>
      </c>
      <c r="I29" s="148" t="s">
        <v>251</v>
      </c>
      <c r="J29" s="149">
        <v>41499</v>
      </c>
      <c r="K29" s="150">
        <f t="shared" si="2"/>
        <v>8</v>
      </c>
      <c r="L29" s="150" t="str">
        <f t="shared" si="1"/>
        <v>3 TRIM</v>
      </c>
      <c r="M29" s="148" t="s">
        <v>12</v>
      </c>
      <c r="N29" s="151">
        <v>1</v>
      </c>
      <c r="O29" s="157">
        <f>IF(ISNA(VLOOKUP($F29,'Salário e Custo Hora'!$B$28:$P$32,3+Investimentos!$K29,FALSE)),0,VLOOKUP($F29,'Salário e Custo Hora'!$B$28:$P$32,3+Investimentos!$K29,FALSE))</f>
        <v>15.308178545627264</v>
      </c>
      <c r="P29" s="151">
        <f t="shared" si="3"/>
        <v>15.308178545627264</v>
      </c>
    </row>
    <row r="30" spans="2:16" s="20" customFormat="1" ht="24" customHeight="1" x14ac:dyDescent="0.25">
      <c r="B30" s="20">
        <v>84</v>
      </c>
      <c r="C30" s="146" t="s">
        <v>18</v>
      </c>
      <c r="D30" s="146" t="s">
        <v>0</v>
      </c>
      <c r="E30" s="147" t="s">
        <v>133</v>
      </c>
      <c r="F30" s="153" t="s">
        <v>318</v>
      </c>
      <c r="G30" s="153" t="str">
        <f>VLOOKUP(F30,'Salário e Custo Hora'!$B$48:$C$52,2,FALSE)</f>
        <v>Graduado</v>
      </c>
      <c r="H30" s="147" t="s">
        <v>126</v>
      </c>
      <c r="I30" s="148" t="s">
        <v>251</v>
      </c>
      <c r="J30" s="149">
        <v>41514</v>
      </c>
      <c r="K30" s="150">
        <f t="shared" si="2"/>
        <v>8</v>
      </c>
      <c r="L30" s="150" t="str">
        <f t="shared" si="1"/>
        <v>3 TRIM</v>
      </c>
      <c r="M30" s="148" t="s">
        <v>12</v>
      </c>
      <c r="N30" s="151">
        <f>20/60</f>
        <v>0.33333333333333331</v>
      </c>
      <c r="O30" s="157">
        <f>IF(ISNA(VLOOKUP($F30,'Salário e Custo Hora'!$B$28:$P$32,3+Investimentos!$K30,FALSE)),0,VLOOKUP($F30,'Salário e Custo Hora'!$B$28:$P$32,3+Investimentos!$K30,FALSE))</f>
        <v>15.308178545627264</v>
      </c>
      <c r="P30" s="151">
        <f t="shared" si="3"/>
        <v>5.1027261818757541</v>
      </c>
    </row>
    <row r="31" spans="2:16" s="20" customFormat="1" ht="24" customHeight="1" x14ac:dyDescent="0.25">
      <c r="B31" s="20">
        <v>84</v>
      </c>
      <c r="C31" s="146" t="s">
        <v>18</v>
      </c>
      <c r="D31" s="146" t="s">
        <v>0</v>
      </c>
      <c r="E31" s="147" t="s">
        <v>134</v>
      </c>
      <c r="F31" s="153" t="s">
        <v>318</v>
      </c>
      <c r="G31" s="153" t="str">
        <f>VLOOKUP(F31,'Salário e Custo Hora'!$B$48:$C$52,2,FALSE)</f>
        <v>Graduado</v>
      </c>
      <c r="H31" s="147" t="s">
        <v>126</v>
      </c>
      <c r="I31" s="148" t="s">
        <v>251</v>
      </c>
      <c r="J31" s="149">
        <v>41514</v>
      </c>
      <c r="K31" s="150">
        <f t="shared" si="2"/>
        <v>8</v>
      </c>
      <c r="L31" s="150" t="str">
        <f t="shared" si="1"/>
        <v>3 TRIM</v>
      </c>
      <c r="M31" s="148" t="s">
        <v>12</v>
      </c>
      <c r="N31" s="151">
        <f>20/60</f>
        <v>0.33333333333333331</v>
      </c>
      <c r="O31" s="157">
        <f>IF(ISNA(VLOOKUP($F31,'Salário e Custo Hora'!$B$28:$P$32,3+Investimentos!$K31,FALSE)),0,VLOOKUP($F31,'Salário e Custo Hora'!$B$28:$P$32,3+Investimentos!$K31,FALSE))</f>
        <v>15.308178545627264</v>
      </c>
      <c r="P31" s="151">
        <f t="shared" si="3"/>
        <v>5.1027261818757541</v>
      </c>
    </row>
    <row r="32" spans="2:16" s="20" customFormat="1" ht="24" customHeight="1" x14ac:dyDescent="0.25">
      <c r="B32" s="20">
        <v>84</v>
      </c>
      <c r="C32" s="146" t="s">
        <v>18</v>
      </c>
      <c r="D32" s="146" t="s">
        <v>0</v>
      </c>
      <c r="E32" s="147" t="s">
        <v>117</v>
      </c>
      <c r="F32" s="153" t="s">
        <v>318</v>
      </c>
      <c r="G32" s="153" t="str">
        <f>VLOOKUP(F32,'Salário e Custo Hora'!$B$48:$C$52,2,FALSE)</f>
        <v>Graduado</v>
      </c>
      <c r="H32" s="147" t="s">
        <v>126</v>
      </c>
      <c r="I32" s="148" t="s">
        <v>251</v>
      </c>
      <c r="J32" s="149">
        <v>41514</v>
      </c>
      <c r="K32" s="150">
        <f t="shared" si="2"/>
        <v>8</v>
      </c>
      <c r="L32" s="150" t="str">
        <f t="shared" si="1"/>
        <v>3 TRIM</v>
      </c>
      <c r="M32" s="148" t="s">
        <v>12</v>
      </c>
      <c r="N32" s="151">
        <f>20/60</f>
        <v>0.33333333333333331</v>
      </c>
      <c r="O32" s="157">
        <f>IF(ISNA(VLOOKUP($F32,'Salário e Custo Hora'!$B$28:$P$32,3+Investimentos!$K32,FALSE)),0,VLOOKUP($F32,'Salário e Custo Hora'!$B$28:$P$32,3+Investimentos!$K32,FALSE))</f>
        <v>15.308178545627264</v>
      </c>
      <c r="P32" s="151">
        <f t="shared" si="3"/>
        <v>5.1027261818757541</v>
      </c>
    </row>
    <row r="33" spans="1:16" s="20" customFormat="1" ht="18" customHeight="1" x14ac:dyDescent="0.25">
      <c r="B33" s="20">
        <v>84</v>
      </c>
      <c r="C33" s="146" t="s">
        <v>64</v>
      </c>
      <c r="D33" s="146" t="s">
        <v>65</v>
      </c>
      <c r="E33" s="147" t="s">
        <v>129</v>
      </c>
      <c r="F33" s="153" t="s">
        <v>318</v>
      </c>
      <c r="G33" s="153" t="str">
        <f>VLOOKUP(F33,'Salário e Custo Hora'!$B$48:$C$52,2,FALSE)</f>
        <v>Graduado</v>
      </c>
      <c r="H33" s="147" t="s">
        <v>126</v>
      </c>
      <c r="I33" s="148" t="s">
        <v>251</v>
      </c>
      <c r="J33" s="149">
        <v>41514</v>
      </c>
      <c r="K33" s="150">
        <f t="shared" si="2"/>
        <v>8</v>
      </c>
      <c r="L33" s="150" t="str">
        <f t="shared" si="1"/>
        <v>3 TRIM</v>
      </c>
      <c r="M33" s="148" t="s">
        <v>12</v>
      </c>
      <c r="N33" s="151">
        <f>15/60</f>
        <v>0.25</v>
      </c>
      <c r="O33" s="157">
        <f>IF(ISNA(VLOOKUP($F33,'Salário e Custo Hora'!$B$28:$P$32,3+Investimentos!$K33,FALSE)),0,VLOOKUP($F33,'Salário e Custo Hora'!$B$28:$P$32,3+Investimentos!$K33,FALSE))</f>
        <v>15.308178545627264</v>
      </c>
      <c r="P33" s="151">
        <f t="shared" si="3"/>
        <v>3.827044636406816</v>
      </c>
    </row>
    <row r="34" spans="1:16" s="20" customFormat="1" ht="16.5" customHeight="1" x14ac:dyDescent="0.25">
      <c r="B34" s="20">
        <v>84</v>
      </c>
      <c r="C34" s="146" t="s">
        <v>18</v>
      </c>
      <c r="D34" s="146"/>
      <c r="E34" s="147" t="s">
        <v>81</v>
      </c>
      <c r="F34" s="153" t="s">
        <v>318</v>
      </c>
      <c r="G34" s="153" t="str">
        <f>VLOOKUP(F34,'Salário e Custo Hora'!$B$48:$C$52,2,FALSE)</f>
        <v>Graduado</v>
      </c>
      <c r="H34" s="147" t="s">
        <v>126</v>
      </c>
      <c r="I34" s="148" t="s">
        <v>251</v>
      </c>
      <c r="J34" s="149">
        <v>41547</v>
      </c>
      <c r="K34" s="150">
        <f t="shared" si="2"/>
        <v>9</v>
      </c>
      <c r="L34" s="150" t="str">
        <f t="shared" si="1"/>
        <v>3 TRIM</v>
      </c>
      <c r="M34" s="148" t="s">
        <v>12</v>
      </c>
      <c r="N34" s="151">
        <f>15/60</f>
        <v>0.25</v>
      </c>
      <c r="O34" s="157">
        <f>IF(ISNA(VLOOKUP($F34,'Salário e Custo Hora'!$B$28:$P$32,3+Investimentos!$K34,FALSE)),0,VLOOKUP($F34,'Salário e Custo Hora'!$B$28:$P$32,3+Investimentos!$K34,FALSE))</f>
        <v>16.037139428752372</v>
      </c>
      <c r="P34" s="151">
        <f t="shared" si="3"/>
        <v>4.009284857188093</v>
      </c>
    </row>
    <row r="35" spans="1:16" s="20" customFormat="1" ht="15.75" customHeight="1" x14ac:dyDescent="0.25">
      <c r="B35" s="20">
        <v>84</v>
      </c>
      <c r="C35" s="146" t="s">
        <v>18</v>
      </c>
      <c r="D35" s="146"/>
      <c r="E35" s="147" t="s">
        <v>133</v>
      </c>
      <c r="F35" s="153" t="s">
        <v>318</v>
      </c>
      <c r="G35" s="153" t="str">
        <f>VLOOKUP(F35,'Salário e Custo Hora'!$B$48:$C$52,2,FALSE)</f>
        <v>Graduado</v>
      </c>
      <c r="H35" s="147" t="s">
        <v>126</v>
      </c>
      <c r="I35" s="148" t="s">
        <v>251</v>
      </c>
      <c r="J35" s="149">
        <v>41541</v>
      </c>
      <c r="K35" s="150">
        <f t="shared" si="2"/>
        <v>9</v>
      </c>
      <c r="L35" s="150" t="str">
        <f t="shared" si="1"/>
        <v>3 TRIM</v>
      </c>
      <c r="M35" s="148" t="s">
        <v>12</v>
      </c>
      <c r="N35" s="151">
        <f>5/60</f>
        <v>8.3333333333333329E-2</v>
      </c>
      <c r="O35" s="157">
        <f>IF(ISNA(VLOOKUP($F35,'Salário e Custo Hora'!$B$28:$P$32,3+Investimentos!$K35,FALSE)),0,VLOOKUP($F35,'Salário e Custo Hora'!$B$28:$P$32,3+Investimentos!$K35,FALSE))</f>
        <v>16.037139428752372</v>
      </c>
      <c r="P35" s="151">
        <f t="shared" si="3"/>
        <v>1.3364282857293643</v>
      </c>
    </row>
    <row r="36" spans="1:16" s="20" customFormat="1" ht="19.5" customHeight="1" x14ac:dyDescent="0.25">
      <c r="B36" s="20">
        <v>84</v>
      </c>
      <c r="C36" s="146" t="s">
        <v>18</v>
      </c>
      <c r="D36" s="146"/>
      <c r="E36" s="147" t="s">
        <v>134</v>
      </c>
      <c r="F36" s="153" t="s">
        <v>318</v>
      </c>
      <c r="G36" s="153" t="str">
        <f>VLOOKUP(F36,'Salário e Custo Hora'!$B$48:$C$52,2,FALSE)</f>
        <v>Graduado</v>
      </c>
      <c r="H36" s="147" t="s">
        <v>126</v>
      </c>
      <c r="I36" s="148" t="s">
        <v>251</v>
      </c>
      <c r="J36" s="149">
        <v>41541</v>
      </c>
      <c r="K36" s="150">
        <f t="shared" si="2"/>
        <v>9</v>
      </c>
      <c r="L36" s="150" t="str">
        <f t="shared" si="1"/>
        <v>3 TRIM</v>
      </c>
      <c r="M36" s="148" t="s">
        <v>12</v>
      </c>
      <c r="N36" s="151">
        <f>5/60</f>
        <v>8.3333333333333329E-2</v>
      </c>
      <c r="O36" s="157">
        <f>IF(ISNA(VLOOKUP($F36,'Salário e Custo Hora'!$B$28:$P$32,3+Investimentos!$K36,FALSE)),0,VLOOKUP($F36,'Salário e Custo Hora'!$B$28:$P$32,3+Investimentos!$K36,FALSE))</f>
        <v>16.037139428752372</v>
      </c>
      <c r="P36" s="151">
        <f t="shared" si="3"/>
        <v>1.3364282857293643</v>
      </c>
    </row>
    <row r="37" spans="1:16" s="20" customFormat="1" ht="22.5" customHeight="1" x14ac:dyDescent="0.25">
      <c r="B37" s="20">
        <v>84</v>
      </c>
      <c r="C37" s="146" t="s">
        <v>18</v>
      </c>
      <c r="D37" s="146"/>
      <c r="E37" s="147" t="s">
        <v>117</v>
      </c>
      <c r="F37" s="153" t="s">
        <v>318</v>
      </c>
      <c r="G37" s="153" t="str">
        <f>VLOOKUP(F37,'Salário e Custo Hora'!$B$48:$C$52,2,FALSE)</f>
        <v>Graduado</v>
      </c>
      <c r="H37" s="147" t="s">
        <v>126</v>
      </c>
      <c r="I37" s="148" t="s">
        <v>251</v>
      </c>
      <c r="J37" s="149">
        <v>41541</v>
      </c>
      <c r="K37" s="150">
        <f t="shared" si="2"/>
        <v>9</v>
      </c>
      <c r="L37" s="150" t="str">
        <f t="shared" si="1"/>
        <v>3 TRIM</v>
      </c>
      <c r="M37" s="148" t="s">
        <v>12</v>
      </c>
      <c r="N37" s="151">
        <f>5/60</f>
        <v>8.3333333333333329E-2</v>
      </c>
      <c r="O37" s="157">
        <f>IF(ISNA(VLOOKUP($F37,'Salário e Custo Hora'!$B$28:$P$32,3+Investimentos!$K37,FALSE)),0,VLOOKUP($F37,'Salário e Custo Hora'!$B$28:$P$32,3+Investimentos!$K37,FALSE))</f>
        <v>16.037139428752372</v>
      </c>
      <c r="P37" s="151">
        <f t="shared" si="3"/>
        <v>1.3364282857293643</v>
      </c>
    </row>
    <row r="38" spans="1:16" s="20" customFormat="1" ht="18" customHeight="1" x14ac:dyDescent="0.25">
      <c r="B38" s="20">
        <v>84</v>
      </c>
      <c r="C38" s="146" t="s">
        <v>18</v>
      </c>
      <c r="D38" s="146"/>
      <c r="E38" s="147" t="s">
        <v>128</v>
      </c>
      <c r="F38" s="153" t="s">
        <v>318</v>
      </c>
      <c r="G38" s="153" t="str">
        <f>VLOOKUP(F38,'Salário e Custo Hora'!$B$48:$C$52,2,FALSE)</f>
        <v>Graduado</v>
      </c>
      <c r="H38" s="147" t="s">
        <v>126</v>
      </c>
      <c r="I38" s="148" t="s">
        <v>251</v>
      </c>
      <c r="J38" s="149">
        <v>41541</v>
      </c>
      <c r="K38" s="150">
        <f t="shared" si="2"/>
        <v>9</v>
      </c>
      <c r="L38" s="150" t="str">
        <f t="shared" si="1"/>
        <v>3 TRIM</v>
      </c>
      <c r="M38" s="148" t="s">
        <v>12</v>
      </c>
      <c r="N38" s="151">
        <f>5/60</f>
        <v>8.3333333333333329E-2</v>
      </c>
      <c r="O38" s="157">
        <f>IF(ISNA(VLOOKUP($F38,'Salário e Custo Hora'!$B$28:$P$32,3+Investimentos!$K38,FALSE)),0,VLOOKUP($F38,'Salário e Custo Hora'!$B$28:$P$32,3+Investimentos!$K38,FALSE))</f>
        <v>16.037139428752372</v>
      </c>
      <c r="P38" s="151">
        <f t="shared" si="3"/>
        <v>1.3364282857293643</v>
      </c>
    </row>
    <row r="39" spans="1:16" s="20" customFormat="1" ht="15" customHeight="1" x14ac:dyDescent="0.25">
      <c r="B39" s="20" t="s">
        <v>328</v>
      </c>
      <c r="C39" s="152" t="s">
        <v>51</v>
      </c>
      <c r="D39" s="146" t="s">
        <v>52</v>
      </c>
      <c r="E39" s="147" t="s">
        <v>135</v>
      </c>
      <c r="F39" s="153" t="s">
        <v>318</v>
      </c>
      <c r="G39" s="153" t="str">
        <f>VLOOKUP(F39,'Salário e Custo Hora'!$B$48:$C$52,2,FALSE)</f>
        <v>Graduado</v>
      </c>
      <c r="H39" s="147" t="s">
        <v>126</v>
      </c>
      <c r="I39" s="148" t="s">
        <v>251</v>
      </c>
      <c r="J39" s="149">
        <v>41604</v>
      </c>
      <c r="K39" s="150">
        <f t="shared" si="2"/>
        <v>11</v>
      </c>
      <c r="L39" s="150" t="str">
        <f t="shared" si="1"/>
        <v>4 TRIM</v>
      </c>
      <c r="M39" s="148" t="s">
        <v>12</v>
      </c>
      <c r="N39" s="151">
        <v>0.33</v>
      </c>
      <c r="O39" s="157">
        <f>IF(ISNA(VLOOKUP($F39,'Salário e Custo Hora'!$B$28:$P$32,3+Investimentos!$K39,FALSE)),0,VLOOKUP($F39,'Salário e Custo Hora'!$B$28:$P$32,3+Investimentos!$K39,FALSE))</f>
        <v>16.838996400189988</v>
      </c>
      <c r="P39" s="151">
        <f t="shared" si="3"/>
        <v>5.5568688120626959</v>
      </c>
    </row>
    <row r="40" spans="1:16" s="20" customFormat="1" ht="15.75" customHeight="1" x14ac:dyDescent="0.25">
      <c r="B40" s="20">
        <v>84</v>
      </c>
      <c r="C40" s="152" t="s">
        <v>51</v>
      </c>
      <c r="D40" s="146" t="s">
        <v>52</v>
      </c>
      <c r="E40" s="147" t="s">
        <v>136</v>
      </c>
      <c r="F40" s="153" t="s">
        <v>318</v>
      </c>
      <c r="G40" s="153" t="str">
        <f>VLOOKUP(F40,'Salário e Custo Hora'!$B$48:$C$52,2,FALSE)</f>
        <v>Graduado</v>
      </c>
      <c r="H40" s="147" t="s">
        <v>126</v>
      </c>
      <c r="I40" s="148" t="s">
        <v>251</v>
      </c>
      <c r="J40" s="149">
        <v>41604</v>
      </c>
      <c r="K40" s="150">
        <f t="shared" si="2"/>
        <v>11</v>
      </c>
      <c r="L40" s="150" t="str">
        <f t="shared" si="1"/>
        <v>4 TRIM</v>
      </c>
      <c r="M40" s="148" t="s">
        <v>12</v>
      </c>
      <c r="N40" s="151">
        <f>20/60</f>
        <v>0.33333333333333331</v>
      </c>
      <c r="O40" s="157">
        <f>IF(ISNA(VLOOKUP($F40,'Salário e Custo Hora'!$B$28:$P$32,3+Investimentos!$K40,FALSE)),0,VLOOKUP($F40,'Salário e Custo Hora'!$B$28:$P$32,3+Investimentos!$K40,FALSE))</f>
        <v>16.838996400189988</v>
      </c>
      <c r="P40" s="151">
        <f t="shared" si="3"/>
        <v>5.6129988000633286</v>
      </c>
    </row>
    <row r="41" spans="1:16" s="20" customFormat="1" ht="84" x14ac:dyDescent="0.25">
      <c r="B41" s="84">
        <v>84</v>
      </c>
      <c r="C41" s="146" t="s">
        <v>71</v>
      </c>
      <c r="D41" s="146" t="s">
        <v>28</v>
      </c>
      <c r="E41" s="147" t="s">
        <v>137</v>
      </c>
      <c r="F41" s="153" t="s">
        <v>318</v>
      </c>
      <c r="G41" s="153" t="str">
        <f>VLOOKUP(F41,'Salário e Custo Hora'!$B$48:$C$52,2,FALSE)</f>
        <v>Graduado</v>
      </c>
      <c r="H41" s="147" t="s">
        <v>126</v>
      </c>
      <c r="I41" s="148" t="s">
        <v>251</v>
      </c>
      <c r="J41" s="149">
        <v>41604</v>
      </c>
      <c r="K41" s="150">
        <f t="shared" si="2"/>
        <v>11</v>
      </c>
      <c r="L41" s="150" t="str">
        <f t="shared" si="1"/>
        <v>4 TRIM</v>
      </c>
      <c r="M41" s="148" t="s">
        <v>12</v>
      </c>
      <c r="N41" s="151">
        <f>20/60</f>
        <v>0.33333333333333331</v>
      </c>
      <c r="O41" s="157">
        <f>IF(ISNA(VLOOKUP($F41,'Salário e Custo Hora'!$B$28:$P$32,3+Investimentos!$K41,FALSE)),0,VLOOKUP($F41,'Salário e Custo Hora'!$B$28:$P$32,3+Investimentos!$K41,FALSE))</f>
        <v>16.838996400189988</v>
      </c>
      <c r="P41" s="151">
        <f t="shared" si="3"/>
        <v>5.6129988000633286</v>
      </c>
    </row>
    <row r="42" spans="1:16" s="20" customFormat="1" ht="48" x14ac:dyDescent="0.25">
      <c r="B42" s="20">
        <v>84</v>
      </c>
      <c r="C42" s="146" t="s">
        <v>18</v>
      </c>
      <c r="D42" s="146"/>
      <c r="E42" s="147" t="s">
        <v>118</v>
      </c>
      <c r="F42" s="153" t="s">
        <v>318</v>
      </c>
      <c r="G42" s="153" t="str">
        <f>VLOOKUP(F42,'Salário e Custo Hora'!$B$48:$C$52,2,FALSE)</f>
        <v>Graduado</v>
      </c>
      <c r="H42" s="147" t="s">
        <v>126</v>
      </c>
      <c r="I42" s="148" t="s">
        <v>251</v>
      </c>
      <c r="J42" s="149">
        <v>41604</v>
      </c>
      <c r="K42" s="150">
        <f t="shared" si="2"/>
        <v>11</v>
      </c>
      <c r="L42" s="150" t="str">
        <f t="shared" si="1"/>
        <v>4 TRIM</v>
      </c>
      <c r="M42" s="148" t="s">
        <v>12</v>
      </c>
      <c r="N42" s="151">
        <f>5/60</f>
        <v>8.3333333333333329E-2</v>
      </c>
      <c r="O42" s="157">
        <f>IF(ISNA(VLOOKUP($F42,'Salário e Custo Hora'!$B$28:$P$32,3+Investimentos!$K42,FALSE)),0,VLOOKUP($F42,'Salário e Custo Hora'!$B$28:$P$32,3+Investimentos!$K42,FALSE))</f>
        <v>16.838996400189988</v>
      </c>
      <c r="P42" s="151">
        <f t="shared" si="3"/>
        <v>1.4032497000158322</v>
      </c>
    </row>
    <row r="43" spans="1:16" s="20" customFormat="1" ht="48" x14ac:dyDescent="0.25">
      <c r="B43" s="20">
        <v>84</v>
      </c>
      <c r="C43" s="146" t="s">
        <v>18</v>
      </c>
      <c r="D43" s="146"/>
      <c r="E43" s="147" t="s">
        <v>119</v>
      </c>
      <c r="F43" s="153" t="s">
        <v>318</v>
      </c>
      <c r="G43" s="153" t="str">
        <f>VLOOKUP(F43,'Salário e Custo Hora'!$B$48:$C$52,2,FALSE)</f>
        <v>Graduado</v>
      </c>
      <c r="H43" s="147" t="s">
        <v>126</v>
      </c>
      <c r="I43" s="148" t="s">
        <v>251</v>
      </c>
      <c r="J43" s="149">
        <v>41604</v>
      </c>
      <c r="K43" s="150">
        <f t="shared" si="2"/>
        <v>11</v>
      </c>
      <c r="L43" s="150" t="str">
        <f t="shared" si="1"/>
        <v>4 TRIM</v>
      </c>
      <c r="M43" s="148" t="s">
        <v>12</v>
      </c>
      <c r="N43" s="151">
        <f>15/60</f>
        <v>0.25</v>
      </c>
      <c r="O43" s="157">
        <f>IF(ISNA(VLOOKUP($F43,'Salário e Custo Hora'!$B$28:$P$32,3+Investimentos!$K43,FALSE)),0,VLOOKUP($F43,'Salário e Custo Hora'!$B$28:$P$32,3+Investimentos!$K43,FALSE))</f>
        <v>16.838996400189988</v>
      </c>
      <c r="P43" s="151">
        <f t="shared" si="3"/>
        <v>4.2097491000474969</v>
      </c>
    </row>
    <row r="44" spans="1:16" s="20" customFormat="1" ht="36" x14ac:dyDescent="0.25">
      <c r="B44" s="20">
        <v>84</v>
      </c>
      <c r="C44" s="146" t="s">
        <v>18</v>
      </c>
      <c r="D44" s="146"/>
      <c r="E44" s="147" t="s">
        <v>16</v>
      </c>
      <c r="F44" s="153" t="s">
        <v>318</v>
      </c>
      <c r="G44" s="153" t="str">
        <f>VLOOKUP(F44,'Salário e Custo Hora'!$B$48:$C$52,2,FALSE)</f>
        <v>Graduado</v>
      </c>
      <c r="H44" s="147" t="s">
        <v>126</v>
      </c>
      <c r="I44" s="148" t="s">
        <v>251</v>
      </c>
      <c r="J44" s="149">
        <v>41604</v>
      </c>
      <c r="K44" s="150">
        <f t="shared" si="2"/>
        <v>11</v>
      </c>
      <c r="L44" s="150" t="str">
        <f t="shared" si="1"/>
        <v>4 TRIM</v>
      </c>
      <c r="M44" s="148" t="s">
        <v>12</v>
      </c>
      <c r="N44" s="151">
        <f>10/60</f>
        <v>0.16666666666666666</v>
      </c>
      <c r="O44" s="157">
        <f>IF(ISNA(VLOOKUP($F44,'Salário e Custo Hora'!$B$28:$P$32,3+Investimentos!$K44,FALSE)),0,VLOOKUP($F44,'Salário e Custo Hora'!$B$28:$P$32,3+Investimentos!$K44,FALSE))</f>
        <v>16.838996400189988</v>
      </c>
      <c r="P44" s="151">
        <f t="shared" si="3"/>
        <v>2.8064994000316643</v>
      </c>
    </row>
    <row r="45" spans="1:16" s="20" customFormat="1" ht="48" x14ac:dyDescent="0.25">
      <c r="B45" s="20">
        <v>84</v>
      </c>
      <c r="C45" s="146" t="s">
        <v>64</v>
      </c>
      <c r="D45" s="146" t="s">
        <v>65</v>
      </c>
      <c r="E45" s="147" t="s">
        <v>120</v>
      </c>
      <c r="F45" s="153" t="s">
        <v>318</v>
      </c>
      <c r="G45" s="153" t="str">
        <f>VLOOKUP(F45,'Salário e Custo Hora'!$B$48:$C$52,2,FALSE)</f>
        <v>Graduado</v>
      </c>
      <c r="H45" s="147" t="s">
        <v>126</v>
      </c>
      <c r="I45" s="148" t="s">
        <v>251</v>
      </c>
      <c r="J45" s="149">
        <v>41604</v>
      </c>
      <c r="K45" s="150">
        <f t="shared" si="2"/>
        <v>11</v>
      </c>
      <c r="L45" s="150" t="str">
        <f t="shared" si="1"/>
        <v>4 TRIM</v>
      </c>
      <c r="M45" s="148" t="s">
        <v>12</v>
      </c>
      <c r="N45" s="151">
        <f>10/60</f>
        <v>0.16666666666666666</v>
      </c>
      <c r="O45" s="157">
        <f>IF(ISNA(VLOOKUP($F45,'Salário e Custo Hora'!$B$28:$P$32,3+Investimentos!$K45,FALSE)),0,VLOOKUP($F45,'Salário e Custo Hora'!$B$28:$P$32,3+Investimentos!$K45,FALSE))</f>
        <v>16.838996400189988</v>
      </c>
      <c r="P45" s="151">
        <f t="shared" si="3"/>
        <v>2.8064994000316643</v>
      </c>
    </row>
    <row r="46" spans="1:16" s="20" customFormat="1" ht="48" x14ac:dyDescent="0.25">
      <c r="B46" s="20">
        <v>82</v>
      </c>
      <c r="C46" s="146" t="s">
        <v>71</v>
      </c>
      <c r="D46" s="146"/>
      <c r="E46" s="147" t="s">
        <v>73</v>
      </c>
      <c r="F46" s="147" t="s">
        <v>315</v>
      </c>
      <c r="G46" s="153" t="str">
        <f>VLOOKUP(F46,'Salário e Custo Hora'!$B$48:$C$52,2,FALSE)</f>
        <v>Graduado</v>
      </c>
      <c r="H46" s="147"/>
      <c r="I46" s="148" t="s">
        <v>251</v>
      </c>
      <c r="J46" s="149">
        <v>41577</v>
      </c>
      <c r="K46" s="150">
        <f t="shared" si="2"/>
        <v>10</v>
      </c>
      <c r="L46" s="150" t="str">
        <f t="shared" si="1"/>
        <v>4 TRIM</v>
      </c>
      <c r="M46" s="148" t="s">
        <v>12</v>
      </c>
      <c r="N46" s="151">
        <f>40/60</f>
        <v>0.66666666666666663</v>
      </c>
      <c r="O46" s="157">
        <f>IF(ISNA(VLOOKUP($F46,'Salário e Custo Hora'!$B$28:$P$32,3+Investimentos!$K46,FALSE)),0,VLOOKUP($F46,'Salário e Custo Hora'!$B$28:$P$32,3+Investimentos!$K46,FALSE))</f>
        <v>10.592341784591197</v>
      </c>
      <c r="P46" s="151">
        <f t="shared" si="3"/>
        <v>7.0615611897274642</v>
      </c>
    </row>
    <row r="47" spans="1:16" s="20" customFormat="1" ht="25.5" customHeight="1" x14ac:dyDescent="0.25">
      <c r="B47" s="20">
        <v>82</v>
      </c>
      <c r="C47" s="146" t="s">
        <v>71</v>
      </c>
      <c r="D47" s="146"/>
      <c r="E47" s="147" t="s">
        <v>74</v>
      </c>
      <c r="F47" s="147" t="s">
        <v>315</v>
      </c>
      <c r="G47" s="153" t="str">
        <f>VLOOKUP(F47,'Salário e Custo Hora'!$B$48:$C$52,2,FALSE)</f>
        <v>Graduado</v>
      </c>
      <c r="H47" s="147"/>
      <c r="I47" s="148" t="s">
        <v>251</v>
      </c>
      <c r="J47" s="149">
        <v>41577</v>
      </c>
      <c r="K47" s="150">
        <f t="shared" si="2"/>
        <v>10</v>
      </c>
      <c r="L47" s="150" t="str">
        <f t="shared" si="1"/>
        <v>4 TRIM</v>
      </c>
      <c r="M47" s="148" t="s">
        <v>12</v>
      </c>
      <c r="N47" s="151">
        <f>40/60</f>
        <v>0.66666666666666663</v>
      </c>
      <c r="O47" s="157">
        <f>IF(ISNA(VLOOKUP($F47,'Salário e Custo Hora'!$B$28:$P$32,3+Investimentos!$K47,FALSE)),0,VLOOKUP($F47,'Salário e Custo Hora'!$B$28:$P$32,3+Investimentos!$K47,FALSE))</f>
        <v>10.592341784591197</v>
      </c>
      <c r="P47" s="151">
        <f t="shared" si="3"/>
        <v>7.0615611897274642</v>
      </c>
    </row>
    <row r="48" spans="1:16" s="20" customFormat="1" ht="36" x14ac:dyDescent="0.25">
      <c r="A48" s="83"/>
      <c r="B48" s="84" t="s">
        <v>211</v>
      </c>
      <c r="C48" s="146" t="s">
        <v>18</v>
      </c>
      <c r="D48" s="146" t="s">
        <v>0</v>
      </c>
      <c r="E48" s="147" t="s">
        <v>27</v>
      </c>
      <c r="F48" s="147" t="s">
        <v>7</v>
      </c>
      <c r="G48" s="153" t="str">
        <f>VLOOKUP(F48,'Salário e Custo Hora'!$B$48:$C$52,2,FALSE)</f>
        <v>Pós-Graduado</v>
      </c>
      <c r="H48" s="147" t="s">
        <v>30</v>
      </c>
      <c r="I48" s="148" t="s">
        <v>251</v>
      </c>
      <c r="J48" s="149">
        <v>41513</v>
      </c>
      <c r="K48" s="150">
        <f t="shared" si="2"/>
        <v>8</v>
      </c>
      <c r="L48" s="150" t="str">
        <f t="shared" si="1"/>
        <v>3 TRIM</v>
      </c>
      <c r="M48" s="148" t="s">
        <v>12</v>
      </c>
      <c r="N48" s="151">
        <v>3.5</v>
      </c>
      <c r="O48" s="157">
        <f>IF(ISNA(VLOOKUP($F48,'Salário e Custo Hora'!$B$28:$P$32,3+Investimentos!$K48,FALSE)),0,VLOOKUP($F48,'Salário e Custo Hora'!$B$28:$P$32,3+Investimentos!$K48,FALSE))</f>
        <v>45.542459698250191</v>
      </c>
      <c r="P48" s="151">
        <f t="shared" si="3"/>
        <v>159.39860894387567</v>
      </c>
    </row>
    <row r="49" spans="1:16" s="20" customFormat="1" ht="36" x14ac:dyDescent="0.25">
      <c r="A49" s="83"/>
      <c r="B49" s="84" t="s">
        <v>212</v>
      </c>
      <c r="C49" s="146" t="s">
        <v>18</v>
      </c>
      <c r="D49" s="146" t="s">
        <v>0</v>
      </c>
      <c r="E49" s="147" t="s">
        <v>38</v>
      </c>
      <c r="F49" s="147" t="s">
        <v>7</v>
      </c>
      <c r="G49" s="153" t="str">
        <f>VLOOKUP(F49,'Salário e Custo Hora'!$B$48:$C$52,2,FALSE)</f>
        <v>Pós-Graduado</v>
      </c>
      <c r="H49" s="147" t="s">
        <v>191</v>
      </c>
      <c r="I49" s="148" t="s">
        <v>251</v>
      </c>
      <c r="J49" s="149">
        <v>41513</v>
      </c>
      <c r="K49" s="150">
        <f t="shared" si="2"/>
        <v>8</v>
      </c>
      <c r="L49" s="150" t="str">
        <f t="shared" si="1"/>
        <v>3 TRIM</v>
      </c>
      <c r="M49" s="148" t="s">
        <v>12</v>
      </c>
      <c r="N49" s="151">
        <v>3.5</v>
      </c>
      <c r="O49" s="157">
        <f>IF(ISNA(VLOOKUP($F49,'Salário e Custo Hora'!$B$28:$P$32,3+Investimentos!$K49,FALSE)),0,VLOOKUP($F49,'Salário e Custo Hora'!$B$28:$P$32,3+Investimentos!$K49,FALSE))</f>
        <v>45.542459698250191</v>
      </c>
      <c r="P49" s="151">
        <f t="shared" si="3"/>
        <v>159.39860894387567</v>
      </c>
    </row>
    <row r="50" spans="1:16" s="20" customFormat="1" ht="24" customHeight="1" x14ac:dyDescent="0.25">
      <c r="A50" s="83"/>
      <c r="B50" s="20">
        <v>83</v>
      </c>
      <c r="C50" s="152" t="s">
        <v>51</v>
      </c>
      <c r="D50" s="146" t="s">
        <v>112</v>
      </c>
      <c r="E50" s="147"/>
      <c r="F50" s="147" t="s">
        <v>7</v>
      </c>
      <c r="G50" s="153" t="str">
        <f>VLOOKUP(F50,'Salário e Custo Hora'!$B$48:$C$52,2,FALSE)</f>
        <v>Pós-Graduado</v>
      </c>
      <c r="H50" s="147" t="s">
        <v>209</v>
      </c>
      <c r="I50" s="148" t="s">
        <v>251</v>
      </c>
      <c r="J50" s="149">
        <v>41501</v>
      </c>
      <c r="K50" s="150">
        <f t="shared" si="2"/>
        <v>8</v>
      </c>
      <c r="L50" s="150" t="str">
        <f t="shared" si="1"/>
        <v>3 TRIM</v>
      </c>
      <c r="M50" s="148" t="s">
        <v>12</v>
      </c>
      <c r="N50" s="151">
        <v>2</v>
      </c>
      <c r="O50" s="157">
        <f>IF(ISNA(VLOOKUP($F50,'Salário e Custo Hora'!$B$28:$P$32,3+Investimentos!$K50,FALSE)),0,VLOOKUP($F50,'Salário e Custo Hora'!$B$28:$P$32,3+Investimentos!$K50,FALSE))</f>
        <v>45.542459698250191</v>
      </c>
      <c r="P50" s="151">
        <f t="shared" si="3"/>
        <v>91.084919396500382</v>
      </c>
    </row>
    <row r="51" spans="1:16" s="20" customFormat="1" ht="36" x14ac:dyDescent="0.25">
      <c r="A51" s="83"/>
      <c r="B51" s="84" t="s">
        <v>213</v>
      </c>
      <c r="C51" s="146" t="s">
        <v>18</v>
      </c>
      <c r="D51" s="146" t="s">
        <v>0</v>
      </c>
      <c r="E51" s="147" t="s">
        <v>39</v>
      </c>
      <c r="F51" s="147" t="s">
        <v>7</v>
      </c>
      <c r="G51" s="153" t="str">
        <f>VLOOKUP(F51,'Salário e Custo Hora'!$B$48:$C$52,2,FALSE)</f>
        <v>Pós-Graduado</v>
      </c>
      <c r="H51" s="147" t="s">
        <v>30</v>
      </c>
      <c r="I51" s="148" t="s">
        <v>251</v>
      </c>
      <c r="J51" s="149">
        <v>41513</v>
      </c>
      <c r="K51" s="150">
        <f t="shared" si="2"/>
        <v>8</v>
      </c>
      <c r="L51" s="150" t="str">
        <f t="shared" si="1"/>
        <v>3 TRIM</v>
      </c>
      <c r="M51" s="148" t="s">
        <v>12</v>
      </c>
      <c r="N51" s="151">
        <v>3.5</v>
      </c>
      <c r="O51" s="157">
        <f>IF(ISNA(VLOOKUP($F51,'Salário e Custo Hora'!$B$28:$P$32,3+Investimentos!$K51,FALSE)),0,VLOOKUP($F51,'Salário e Custo Hora'!$B$28:$P$32,3+Investimentos!$K51,FALSE))</f>
        <v>45.542459698250191</v>
      </c>
      <c r="P51" s="151">
        <f t="shared" si="3"/>
        <v>159.39860894387567</v>
      </c>
    </row>
    <row r="52" spans="1:16" s="20" customFormat="1" ht="24" customHeight="1" x14ac:dyDescent="0.25">
      <c r="A52" s="83"/>
      <c r="B52" s="20">
        <v>83</v>
      </c>
      <c r="C52" s="152" t="s">
        <v>51</v>
      </c>
      <c r="D52" s="146" t="s">
        <v>112</v>
      </c>
      <c r="E52" s="147"/>
      <c r="F52" s="147" t="s">
        <v>7</v>
      </c>
      <c r="G52" s="153" t="str">
        <f>VLOOKUP(F52,'Salário e Custo Hora'!$B$48:$C$52,2,FALSE)</f>
        <v>Pós-Graduado</v>
      </c>
      <c r="H52" s="147" t="s">
        <v>209</v>
      </c>
      <c r="I52" s="148" t="s">
        <v>251</v>
      </c>
      <c r="J52" s="149">
        <v>41460</v>
      </c>
      <c r="K52" s="150">
        <f t="shared" si="2"/>
        <v>7</v>
      </c>
      <c r="L52" s="150" t="str">
        <f t="shared" si="1"/>
        <v>3 TRIM</v>
      </c>
      <c r="M52" s="148" t="s">
        <v>12</v>
      </c>
      <c r="N52" s="151">
        <v>3</v>
      </c>
      <c r="O52" s="157">
        <f>IF(ISNA(VLOOKUP($F52,'Salário e Custo Hora'!$B$28:$P$32,3+Investimentos!$K52,FALSE)),0,VLOOKUP($F52,'Salário e Custo Hora'!$B$28:$P$32,3+Investimentos!$K52,FALSE))</f>
        <v>43.562352754848007</v>
      </c>
      <c r="P52" s="151">
        <f t="shared" si="3"/>
        <v>130.68705826454402</v>
      </c>
    </row>
    <row r="53" spans="1:16" s="20" customFormat="1" ht="24" customHeight="1" x14ac:dyDescent="0.25">
      <c r="A53" s="83"/>
      <c r="B53" s="20">
        <v>83</v>
      </c>
      <c r="C53" s="152" t="s">
        <v>51</v>
      </c>
      <c r="D53" s="146" t="s">
        <v>112</v>
      </c>
      <c r="E53" s="147"/>
      <c r="F53" s="147" t="s">
        <v>7</v>
      </c>
      <c r="G53" s="153" t="str">
        <f>VLOOKUP(F53,'Salário e Custo Hora'!$B$48:$C$52,2,FALSE)</f>
        <v>Pós-Graduado</v>
      </c>
      <c r="H53" s="147" t="s">
        <v>113</v>
      </c>
      <c r="I53" s="148" t="s">
        <v>251</v>
      </c>
      <c r="J53" s="149">
        <v>41474</v>
      </c>
      <c r="K53" s="150">
        <f t="shared" si="2"/>
        <v>7</v>
      </c>
      <c r="L53" s="150" t="str">
        <f t="shared" si="1"/>
        <v>3 TRIM</v>
      </c>
      <c r="M53" s="148" t="s">
        <v>12</v>
      </c>
      <c r="N53" s="151">
        <v>1</v>
      </c>
      <c r="O53" s="157">
        <f>IF(ISNA(VLOOKUP($F53,'Salário e Custo Hora'!$B$28:$P$32,3+Investimentos!$K53,FALSE)),0,VLOOKUP($F53,'Salário e Custo Hora'!$B$28:$P$32,3+Investimentos!$K53,FALSE))</f>
        <v>43.562352754848007</v>
      </c>
      <c r="P53" s="151">
        <f t="shared" si="3"/>
        <v>43.562352754848007</v>
      </c>
    </row>
    <row r="54" spans="1:16" s="20" customFormat="1" ht="24" customHeight="1" x14ac:dyDescent="0.25">
      <c r="B54" s="20">
        <v>10</v>
      </c>
      <c r="C54" s="146" t="s">
        <v>18</v>
      </c>
      <c r="D54" s="146" t="s">
        <v>0</v>
      </c>
      <c r="E54" s="147" t="s">
        <v>42</v>
      </c>
      <c r="F54" s="147" t="s">
        <v>159</v>
      </c>
      <c r="G54" s="147"/>
      <c r="H54" s="147" t="s">
        <v>226</v>
      </c>
      <c r="I54" s="148" t="s">
        <v>22</v>
      </c>
      <c r="J54" s="149">
        <v>41512</v>
      </c>
      <c r="K54" s="150">
        <f t="shared" si="2"/>
        <v>8</v>
      </c>
      <c r="L54" s="150" t="str">
        <f t="shared" si="1"/>
        <v>3 TRIM</v>
      </c>
      <c r="M54" s="148" t="s">
        <v>12</v>
      </c>
      <c r="N54" s="151">
        <v>1</v>
      </c>
      <c r="O54" s="151">
        <v>98.98</v>
      </c>
      <c r="P54" s="151">
        <f t="shared" si="3"/>
        <v>98.98</v>
      </c>
    </row>
    <row r="55" spans="1:16" s="20" customFormat="1" ht="24" customHeight="1" x14ac:dyDescent="0.25">
      <c r="B55" s="20">
        <v>11</v>
      </c>
      <c r="C55" s="146" t="s">
        <v>18</v>
      </c>
      <c r="D55" s="146" t="s">
        <v>0</v>
      </c>
      <c r="E55" s="147" t="s">
        <v>42</v>
      </c>
      <c r="F55" s="147" t="s">
        <v>76</v>
      </c>
      <c r="G55" s="147"/>
      <c r="H55" s="147" t="s">
        <v>185</v>
      </c>
      <c r="I55" s="148" t="s">
        <v>32</v>
      </c>
      <c r="J55" s="149">
        <v>41536</v>
      </c>
      <c r="K55" s="150">
        <f t="shared" si="2"/>
        <v>9</v>
      </c>
      <c r="L55" s="150" t="str">
        <f t="shared" si="1"/>
        <v>3 TRIM</v>
      </c>
      <c r="M55" s="148" t="s">
        <v>23</v>
      </c>
      <c r="N55" s="151">
        <v>1</v>
      </c>
      <c r="O55" s="151">
        <v>8163.26</v>
      </c>
      <c r="P55" s="151">
        <f t="shared" ref="P55:P89" si="5">IF(C55="",0,O55*N55)</f>
        <v>8163.26</v>
      </c>
    </row>
    <row r="56" spans="1:16" s="20" customFormat="1" ht="24" customHeight="1" x14ac:dyDescent="0.25">
      <c r="B56" s="84">
        <v>23</v>
      </c>
      <c r="C56" s="146" t="s">
        <v>18</v>
      </c>
      <c r="D56" s="146" t="s">
        <v>0</v>
      </c>
      <c r="E56" s="147" t="s">
        <v>42</v>
      </c>
      <c r="F56" s="147" t="s">
        <v>29</v>
      </c>
      <c r="G56" s="147"/>
      <c r="H56" s="147" t="s">
        <v>310</v>
      </c>
      <c r="I56" s="148" t="s">
        <v>22</v>
      </c>
      <c r="J56" s="149">
        <v>41513</v>
      </c>
      <c r="K56" s="150">
        <f t="shared" si="2"/>
        <v>8</v>
      </c>
      <c r="L56" s="150" t="str">
        <f t="shared" ref="L56:L90" si="6">IF(K56&lt;=3,"1 TRIM",IF(K56&lt;=6,"2 TRIM",IF(K56&lt;=9,"3 TRIM","4 TRIM")))</f>
        <v>3 TRIM</v>
      </c>
      <c r="M56" s="148" t="s">
        <v>47</v>
      </c>
      <c r="N56" s="151">
        <v>1</v>
      </c>
      <c r="O56" s="151">
        <v>304.5</v>
      </c>
      <c r="P56" s="151">
        <f>N56*O56</f>
        <v>304.5</v>
      </c>
    </row>
    <row r="57" spans="1:16" s="20" customFormat="1" ht="44.25" customHeight="1" x14ac:dyDescent="0.25">
      <c r="B57" s="20">
        <v>26</v>
      </c>
      <c r="C57" s="146" t="s">
        <v>18</v>
      </c>
      <c r="D57" s="146" t="s">
        <v>0</v>
      </c>
      <c r="E57" s="147" t="s">
        <v>26</v>
      </c>
      <c r="F57" s="147" t="s">
        <v>201</v>
      </c>
      <c r="G57" s="147"/>
      <c r="H57" s="147" t="s">
        <v>305</v>
      </c>
      <c r="I57" s="148" t="s">
        <v>32</v>
      </c>
      <c r="J57" s="149">
        <v>41374</v>
      </c>
      <c r="K57" s="150">
        <f t="shared" si="2"/>
        <v>4</v>
      </c>
      <c r="L57" s="150" t="str">
        <f t="shared" si="6"/>
        <v>2 TRIM</v>
      </c>
      <c r="M57" s="148" t="s">
        <v>44</v>
      </c>
      <c r="N57" s="151">
        <v>1</v>
      </c>
      <c r="O57" s="151">
        <v>497</v>
      </c>
      <c r="P57" s="151">
        <f>N57*O57</f>
        <v>497</v>
      </c>
    </row>
    <row r="58" spans="1:16" s="20" customFormat="1" ht="24" customHeight="1" x14ac:dyDescent="0.25">
      <c r="B58" s="20">
        <v>30</v>
      </c>
      <c r="C58" s="146" t="s">
        <v>18</v>
      </c>
      <c r="D58" s="146" t="s">
        <v>45</v>
      </c>
      <c r="E58" s="147" t="s">
        <v>46</v>
      </c>
      <c r="F58" s="147" t="s">
        <v>159</v>
      </c>
      <c r="G58" s="147"/>
      <c r="H58" s="147" t="s">
        <v>199</v>
      </c>
      <c r="I58" s="148" t="s">
        <v>22</v>
      </c>
      <c r="J58" s="149">
        <v>41567</v>
      </c>
      <c r="K58" s="150">
        <f t="shared" si="2"/>
        <v>10</v>
      </c>
      <c r="L58" s="150" t="str">
        <f t="shared" si="6"/>
        <v>4 TRIM</v>
      </c>
      <c r="M58" s="148" t="s">
        <v>23</v>
      </c>
      <c r="N58" s="151">
        <v>1</v>
      </c>
      <c r="O58" s="151">
        <v>59.45</v>
      </c>
      <c r="P58" s="151">
        <f t="shared" si="5"/>
        <v>59.45</v>
      </c>
    </row>
    <row r="59" spans="1:16" s="20" customFormat="1" ht="24" customHeight="1" x14ac:dyDescent="0.25">
      <c r="B59" s="20">
        <v>31</v>
      </c>
      <c r="C59" s="146" t="s">
        <v>18</v>
      </c>
      <c r="D59" s="146" t="s">
        <v>75</v>
      </c>
      <c r="E59" s="147" t="s">
        <v>72</v>
      </c>
      <c r="F59" s="147" t="s">
        <v>159</v>
      </c>
      <c r="G59" s="147"/>
      <c r="H59" s="147" t="s">
        <v>198</v>
      </c>
      <c r="I59" s="148" t="s">
        <v>22</v>
      </c>
      <c r="J59" s="149">
        <v>41567</v>
      </c>
      <c r="K59" s="150">
        <f t="shared" ref="K59" si="7">MONTH(J59)</f>
        <v>10</v>
      </c>
      <c r="L59" s="150" t="str">
        <f t="shared" si="6"/>
        <v>4 TRIM</v>
      </c>
      <c r="M59" s="148" t="s">
        <v>23</v>
      </c>
      <c r="N59" s="151">
        <v>1</v>
      </c>
      <c r="O59" s="151">
        <v>5.86</v>
      </c>
      <c r="P59" s="151">
        <f t="shared" ref="P59" si="8">IF(C59="",0,O59*N59)</f>
        <v>5.86</v>
      </c>
    </row>
    <row r="60" spans="1:16" s="20" customFormat="1" ht="24" customHeight="1" x14ac:dyDescent="0.25">
      <c r="B60" s="20">
        <v>29</v>
      </c>
      <c r="C60" s="146" t="s">
        <v>18</v>
      </c>
      <c r="D60" s="146" t="s">
        <v>45</v>
      </c>
      <c r="E60" s="147" t="s">
        <v>46</v>
      </c>
      <c r="F60" s="147" t="s">
        <v>159</v>
      </c>
      <c r="G60" s="147"/>
      <c r="H60" s="147" t="s">
        <v>197</v>
      </c>
      <c r="I60" s="148" t="s">
        <v>22</v>
      </c>
      <c r="J60" s="149">
        <v>41554</v>
      </c>
      <c r="K60" s="150">
        <f t="shared" si="2"/>
        <v>10</v>
      </c>
      <c r="L60" s="150" t="str">
        <f t="shared" si="6"/>
        <v>4 TRIM</v>
      </c>
      <c r="M60" s="148" t="s">
        <v>12</v>
      </c>
      <c r="N60" s="158">
        <f>1/3</f>
        <v>0.33333333333333331</v>
      </c>
      <c r="O60" s="151">
        <v>145.75</v>
      </c>
      <c r="P60" s="151">
        <f t="shared" si="5"/>
        <v>48.583333333333329</v>
      </c>
    </row>
    <row r="61" spans="1:16" s="20" customFormat="1" ht="24" customHeight="1" x14ac:dyDescent="0.25">
      <c r="B61" s="20">
        <v>35</v>
      </c>
      <c r="C61" s="146" t="s">
        <v>18</v>
      </c>
      <c r="D61" s="146" t="s">
        <v>45</v>
      </c>
      <c r="E61" s="147" t="s">
        <v>46</v>
      </c>
      <c r="F61" s="147" t="s">
        <v>29</v>
      </c>
      <c r="G61" s="147"/>
      <c r="H61" s="147" t="s">
        <v>230</v>
      </c>
      <c r="I61" s="148" t="s">
        <v>22</v>
      </c>
      <c r="J61" s="149">
        <v>41437</v>
      </c>
      <c r="K61" s="150">
        <f t="shared" si="2"/>
        <v>6</v>
      </c>
      <c r="L61" s="150" t="str">
        <f t="shared" si="6"/>
        <v>2 TRIM</v>
      </c>
      <c r="M61" s="148" t="s">
        <v>47</v>
      </c>
      <c r="N61" s="151">
        <v>2</v>
      </c>
      <c r="O61" s="151">
        <f>(29.75+28.25)/2</f>
        <v>29</v>
      </c>
      <c r="P61" s="151">
        <f t="shared" si="5"/>
        <v>58</v>
      </c>
    </row>
    <row r="62" spans="1:16" s="20" customFormat="1" ht="24" customHeight="1" x14ac:dyDescent="0.25">
      <c r="B62" s="20">
        <v>126</v>
      </c>
      <c r="C62" s="152" t="s">
        <v>51</v>
      </c>
      <c r="D62" s="152" t="s">
        <v>52</v>
      </c>
      <c r="E62" s="153" t="s">
        <v>55</v>
      </c>
      <c r="F62" s="153" t="s">
        <v>201</v>
      </c>
      <c r="G62" s="153"/>
      <c r="H62" s="153" t="s">
        <v>307</v>
      </c>
      <c r="I62" s="156" t="s">
        <v>32</v>
      </c>
      <c r="J62" s="154">
        <v>41604</v>
      </c>
      <c r="K62" s="155">
        <f t="shared" si="2"/>
        <v>11</v>
      </c>
      <c r="L62" s="155" t="str">
        <f t="shared" si="6"/>
        <v>4 TRIM</v>
      </c>
      <c r="M62" s="156" t="s">
        <v>12</v>
      </c>
      <c r="N62" s="157">
        <f>1/3</f>
        <v>0.33333333333333331</v>
      </c>
      <c r="O62" s="157">
        <v>1570</v>
      </c>
      <c r="P62" s="157">
        <f>N62*O62</f>
        <v>523.33333333333326</v>
      </c>
    </row>
    <row r="63" spans="1:16" s="20" customFormat="1" ht="24" customHeight="1" x14ac:dyDescent="0.25">
      <c r="B63" s="20">
        <v>41</v>
      </c>
      <c r="C63" s="146" t="s">
        <v>51</v>
      </c>
      <c r="D63" s="146" t="s">
        <v>52</v>
      </c>
      <c r="E63" s="147" t="s">
        <v>55</v>
      </c>
      <c r="F63" s="147" t="s">
        <v>159</v>
      </c>
      <c r="G63" s="147"/>
      <c r="H63" s="147" t="s">
        <v>54</v>
      </c>
      <c r="I63" s="148" t="s">
        <v>22</v>
      </c>
      <c r="J63" s="149">
        <v>41554</v>
      </c>
      <c r="K63" s="150">
        <f t="shared" ref="K63:K84" si="9">MONTH(J63)</f>
        <v>10</v>
      </c>
      <c r="L63" s="150" t="str">
        <f t="shared" si="6"/>
        <v>4 TRIM</v>
      </c>
      <c r="M63" s="148" t="s">
        <v>12</v>
      </c>
      <c r="N63" s="158">
        <f>1/3</f>
        <v>0.33333333333333331</v>
      </c>
      <c r="O63" s="151">
        <v>145.75</v>
      </c>
      <c r="P63" s="151">
        <f t="shared" si="5"/>
        <v>48.583333333333329</v>
      </c>
    </row>
    <row r="64" spans="1:16" s="20" customFormat="1" ht="24" customHeight="1" x14ac:dyDescent="0.25">
      <c r="B64" s="20">
        <v>126</v>
      </c>
      <c r="C64" s="152" t="s">
        <v>51</v>
      </c>
      <c r="D64" s="152" t="s">
        <v>52</v>
      </c>
      <c r="E64" s="153" t="s">
        <v>56</v>
      </c>
      <c r="F64" s="153" t="s">
        <v>201</v>
      </c>
      <c r="G64" s="153"/>
      <c r="H64" s="153" t="s">
        <v>307</v>
      </c>
      <c r="I64" s="156" t="s">
        <v>32</v>
      </c>
      <c r="J64" s="154">
        <v>41590</v>
      </c>
      <c r="K64" s="155">
        <f t="shared" si="9"/>
        <v>11</v>
      </c>
      <c r="L64" s="155" t="str">
        <f t="shared" si="6"/>
        <v>4 TRIM</v>
      </c>
      <c r="M64" s="156" t="s">
        <v>57</v>
      </c>
      <c r="N64" s="157">
        <f>1/3</f>
        <v>0.33333333333333331</v>
      </c>
      <c r="O64" s="157">
        <v>1570</v>
      </c>
      <c r="P64" s="157">
        <f>N64*O64</f>
        <v>523.33333333333326</v>
      </c>
    </row>
    <row r="65" spans="1:16" s="20" customFormat="1" ht="24" customHeight="1" x14ac:dyDescent="0.25">
      <c r="B65" s="20">
        <v>37</v>
      </c>
      <c r="C65" s="146" t="s">
        <v>51</v>
      </c>
      <c r="D65" s="146" t="s">
        <v>52</v>
      </c>
      <c r="E65" s="147" t="s">
        <v>56</v>
      </c>
      <c r="F65" s="147" t="s">
        <v>159</v>
      </c>
      <c r="G65" s="147"/>
      <c r="H65" s="147" t="s">
        <v>200</v>
      </c>
      <c r="I65" s="148" t="s">
        <v>22</v>
      </c>
      <c r="J65" s="149">
        <v>41554</v>
      </c>
      <c r="K65" s="150">
        <f t="shared" si="9"/>
        <v>10</v>
      </c>
      <c r="L65" s="150" t="str">
        <f t="shared" si="6"/>
        <v>4 TRIM</v>
      </c>
      <c r="M65" s="148" t="s">
        <v>12</v>
      </c>
      <c r="N65" s="158">
        <f>1/3</f>
        <v>0.33333333333333331</v>
      </c>
      <c r="O65" s="151">
        <v>145.75</v>
      </c>
      <c r="P65" s="151">
        <f t="shared" si="5"/>
        <v>48.583333333333329</v>
      </c>
    </row>
    <row r="66" spans="1:16" s="20" customFormat="1" ht="48" x14ac:dyDescent="0.25">
      <c r="B66" s="20">
        <v>47</v>
      </c>
      <c r="C66" s="146" t="s">
        <v>51</v>
      </c>
      <c r="D66" s="146" t="s">
        <v>52</v>
      </c>
      <c r="E66" s="147" t="s">
        <v>53</v>
      </c>
      <c r="F66" s="147" t="s">
        <v>203</v>
      </c>
      <c r="G66" s="147"/>
      <c r="H66" s="147" t="s">
        <v>202</v>
      </c>
      <c r="I66" s="148" t="s">
        <v>32</v>
      </c>
      <c r="J66" s="149">
        <v>41579</v>
      </c>
      <c r="K66" s="150">
        <f t="shared" si="9"/>
        <v>11</v>
      </c>
      <c r="L66" s="150" t="str">
        <f t="shared" si="6"/>
        <v>4 TRIM</v>
      </c>
      <c r="M66" s="148" t="s">
        <v>58</v>
      </c>
      <c r="N66" s="151">
        <v>1</v>
      </c>
      <c r="O66" s="151">
        <v>444.25</v>
      </c>
      <c r="P66" s="151">
        <f t="shared" si="5"/>
        <v>444.25</v>
      </c>
    </row>
    <row r="67" spans="1:16" s="20" customFormat="1" ht="72" x14ac:dyDescent="0.25">
      <c r="B67" s="20">
        <v>46</v>
      </c>
      <c r="C67" s="146" t="s">
        <v>51</v>
      </c>
      <c r="D67" s="146" t="s">
        <v>52</v>
      </c>
      <c r="E67" s="147" t="s">
        <v>53</v>
      </c>
      <c r="F67" s="147" t="s">
        <v>201</v>
      </c>
      <c r="G67" s="147"/>
      <c r="H67" s="147" t="s">
        <v>285</v>
      </c>
      <c r="I67" s="148" t="s">
        <v>32</v>
      </c>
      <c r="J67" s="149">
        <v>41537</v>
      </c>
      <c r="K67" s="150">
        <f t="shared" si="9"/>
        <v>9</v>
      </c>
      <c r="L67" s="150" t="str">
        <f t="shared" si="6"/>
        <v>3 TRIM</v>
      </c>
      <c r="M67" s="148" t="s">
        <v>58</v>
      </c>
      <c r="N67" s="151">
        <v>1</v>
      </c>
      <c r="O67" s="151">
        <v>270</v>
      </c>
      <c r="P67" s="151">
        <f t="shared" si="5"/>
        <v>270</v>
      </c>
    </row>
    <row r="68" spans="1:16" s="20" customFormat="1" ht="24" customHeight="1" x14ac:dyDescent="0.25">
      <c r="B68" s="20">
        <v>48</v>
      </c>
      <c r="C68" s="146" t="s">
        <v>51</v>
      </c>
      <c r="D68" s="146" t="s">
        <v>52</v>
      </c>
      <c r="E68" s="147" t="s">
        <v>53</v>
      </c>
      <c r="F68" s="147" t="s">
        <v>159</v>
      </c>
      <c r="G68" s="147"/>
      <c r="H68" s="147" t="s">
        <v>204</v>
      </c>
      <c r="I68" s="148" t="s">
        <v>22</v>
      </c>
      <c r="J68" s="149">
        <v>41486</v>
      </c>
      <c r="K68" s="150">
        <f t="shared" si="9"/>
        <v>7</v>
      </c>
      <c r="L68" s="150" t="str">
        <f t="shared" si="6"/>
        <v>3 TRIM</v>
      </c>
      <c r="M68" s="148" t="s">
        <v>58</v>
      </c>
      <c r="N68" s="158">
        <f>1/3</f>
        <v>0.33333333333333331</v>
      </c>
      <c r="O68" s="151">
        <v>157.5</v>
      </c>
      <c r="P68" s="151">
        <f t="shared" si="5"/>
        <v>52.5</v>
      </c>
    </row>
    <row r="69" spans="1:16" s="20" customFormat="1" ht="24" customHeight="1" x14ac:dyDescent="0.25">
      <c r="B69" s="20">
        <v>51</v>
      </c>
      <c r="C69" s="146" t="s">
        <v>51</v>
      </c>
      <c r="D69" s="146" t="s">
        <v>52</v>
      </c>
      <c r="E69" s="147" t="s">
        <v>59</v>
      </c>
      <c r="F69" s="147" t="s">
        <v>159</v>
      </c>
      <c r="G69" s="147"/>
      <c r="H69" s="147" t="s">
        <v>205</v>
      </c>
      <c r="I69" s="148" t="s">
        <v>22</v>
      </c>
      <c r="J69" s="149">
        <v>41312</v>
      </c>
      <c r="K69" s="150">
        <f t="shared" si="9"/>
        <v>2</v>
      </c>
      <c r="L69" s="150" t="str">
        <f t="shared" si="6"/>
        <v>1 TRIM</v>
      </c>
      <c r="M69" s="148" t="s">
        <v>58</v>
      </c>
      <c r="N69" s="151">
        <v>1</v>
      </c>
      <c r="O69" s="151">
        <v>385</v>
      </c>
      <c r="P69" s="151">
        <f t="shared" si="5"/>
        <v>385</v>
      </c>
    </row>
    <row r="70" spans="1:16" s="20" customFormat="1" ht="24" customHeight="1" x14ac:dyDescent="0.25">
      <c r="B70" s="20">
        <v>50</v>
      </c>
      <c r="C70" s="146" t="s">
        <v>51</v>
      </c>
      <c r="D70" s="146" t="s">
        <v>52</v>
      </c>
      <c r="E70" s="147" t="s">
        <v>59</v>
      </c>
      <c r="F70" s="147" t="s">
        <v>159</v>
      </c>
      <c r="G70" s="147"/>
      <c r="H70" s="147" t="s">
        <v>204</v>
      </c>
      <c r="I70" s="148" t="s">
        <v>22</v>
      </c>
      <c r="J70" s="149">
        <v>41486</v>
      </c>
      <c r="K70" s="150">
        <f t="shared" si="9"/>
        <v>7</v>
      </c>
      <c r="L70" s="150" t="str">
        <f t="shared" si="6"/>
        <v>3 TRIM</v>
      </c>
      <c r="M70" s="148" t="s">
        <v>58</v>
      </c>
      <c r="N70" s="158">
        <f>1/3</f>
        <v>0.33333333333333331</v>
      </c>
      <c r="O70" s="151">
        <v>157.5</v>
      </c>
      <c r="P70" s="151">
        <f t="shared" si="5"/>
        <v>52.5</v>
      </c>
    </row>
    <row r="71" spans="1:16" s="20" customFormat="1" ht="24" customHeight="1" x14ac:dyDescent="0.25">
      <c r="B71" s="20">
        <v>52</v>
      </c>
      <c r="C71" s="146" t="s">
        <v>51</v>
      </c>
      <c r="D71" s="146" t="s">
        <v>52</v>
      </c>
      <c r="E71" s="147" t="s">
        <v>60</v>
      </c>
      <c r="F71" s="147" t="s">
        <v>159</v>
      </c>
      <c r="G71" s="147"/>
      <c r="H71" s="147" t="s">
        <v>204</v>
      </c>
      <c r="I71" s="148" t="s">
        <v>22</v>
      </c>
      <c r="J71" s="149">
        <v>41486</v>
      </c>
      <c r="K71" s="150">
        <f t="shared" si="9"/>
        <v>7</v>
      </c>
      <c r="L71" s="150" t="str">
        <f t="shared" si="6"/>
        <v>3 TRIM</v>
      </c>
      <c r="M71" s="148" t="s">
        <v>58</v>
      </c>
      <c r="N71" s="158">
        <f>1/3</f>
        <v>0.33333333333333331</v>
      </c>
      <c r="O71" s="151">
        <v>157.5</v>
      </c>
      <c r="P71" s="151">
        <f t="shared" si="5"/>
        <v>52.5</v>
      </c>
    </row>
    <row r="72" spans="1:16" s="20" customFormat="1" ht="24" customHeight="1" x14ac:dyDescent="0.25">
      <c r="B72" s="20">
        <v>53</v>
      </c>
      <c r="C72" s="146" t="s">
        <v>51</v>
      </c>
      <c r="D72" s="146" t="s">
        <v>52</v>
      </c>
      <c r="E72" s="147" t="s">
        <v>60</v>
      </c>
      <c r="F72" s="147" t="s">
        <v>159</v>
      </c>
      <c r="G72" s="147"/>
      <c r="H72" s="147" t="s">
        <v>205</v>
      </c>
      <c r="I72" s="148" t="s">
        <v>22</v>
      </c>
      <c r="J72" s="149">
        <v>41295</v>
      </c>
      <c r="K72" s="150">
        <f t="shared" si="9"/>
        <v>1</v>
      </c>
      <c r="L72" s="150" t="str">
        <f t="shared" si="6"/>
        <v>1 TRIM</v>
      </c>
      <c r="M72" s="148" t="s">
        <v>58</v>
      </c>
      <c r="N72" s="151">
        <v>1</v>
      </c>
      <c r="O72" s="151">
        <v>385</v>
      </c>
      <c r="P72" s="151">
        <f t="shared" si="5"/>
        <v>385</v>
      </c>
    </row>
    <row r="73" spans="1:16" s="20" customFormat="1" ht="24" customHeight="1" x14ac:dyDescent="0.25">
      <c r="B73" s="20">
        <v>49</v>
      </c>
      <c r="C73" s="146" t="s">
        <v>51</v>
      </c>
      <c r="D73" s="146" t="s">
        <v>61</v>
      </c>
      <c r="E73" s="147" t="s">
        <v>62</v>
      </c>
      <c r="F73" s="147" t="s">
        <v>201</v>
      </c>
      <c r="G73" s="147"/>
      <c r="H73" s="147" t="s">
        <v>312</v>
      </c>
      <c r="I73" s="148" t="s">
        <v>32</v>
      </c>
      <c r="J73" s="149">
        <v>41367</v>
      </c>
      <c r="K73" s="150">
        <f t="shared" si="9"/>
        <v>4</v>
      </c>
      <c r="L73" s="150" t="str">
        <f t="shared" si="6"/>
        <v>2 TRIM</v>
      </c>
      <c r="M73" s="148" t="s">
        <v>58</v>
      </c>
      <c r="N73" s="151">
        <v>0.5</v>
      </c>
      <c r="O73" s="151">
        <v>759</v>
      </c>
      <c r="P73" s="151">
        <f t="shared" si="5"/>
        <v>379.5</v>
      </c>
    </row>
    <row r="74" spans="1:16" s="20" customFormat="1" ht="72" x14ac:dyDescent="0.25">
      <c r="B74" s="20">
        <v>54</v>
      </c>
      <c r="C74" s="146" t="s">
        <v>51</v>
      </c>
      <c r="D74" s="146" t="s">
        <v>61</v>
      </c>
      <c r="E74" s="147" t="s">
        <v>63</v>
      </c>
      <c r="F74" s="147" t="s">
        <v>201</v>
      </c>
      <c r="G74" s="147"/>
      <c r="H74" s="147" t="s">
        <v>314</v>
      </c>
      <c r="I74" s="148" t="s">
        <v>32</v>
      </c>
      <c r="J74" s="149">
        <v>41439</v>
      </c>
      <c r="K74" s="150">
        <f t="shared" si="9"/>
        <v>6</v>
      </c>
      <c r="L74" s="150" t="str">
        <f t="shared" si="6"/>
        <v>2 TRIM</v>
      </c>
      <c r="M74" s="148" t="s">
        <v>58</v>
      </c>
      <c r="N74" s="151">
        <v>1</v>
      </c>
      <c r="O74" s="151">
        <v>1045</v>
      </c>
      <c r="P74" s="151">
        <f t="shared" si="5"/>
        <v>1045</v>
      </c>
    </row>
    <row r="75" spans="1:16" s="8" customFormat="1" ht="24" x14ac:dyDescent="0.25">
      <c r="A75" s="88"/>
      <c r="B75" s="87">
        <v>55</v>
      </c>
      <c r="C75" s="152" t="s">
        <v>64</v>
      </c>
      <c r="D75" s="152" t="s">
        <v>65</v>
      </c>
      <c r="E75" s="153" t="s">
        <v>66</v>
      </c>
      <c r="F75" s="153" t="s">
        <v>7</v>
      </c>
      <c r="G75" s="153"/>
      <c r="H75" s="153" t="s">
        <v>151</v>
      </c>
      <c r="I75" s="156" t="s">
        <v>22</v>
      </c>
      <c r="J75" s="154">
        <v>41465</v>
      </c>
      <c r="K75" s="155">
        <f t="shared" si="9"/>
        <v>7</v>
      </c>
      <c r="L75" s="150" t="str">
        <f t="shared" si="6"/>
        <v>3 TRIM</v>
      </c>
      <c r="M75" s="156" t="s">
        <v>36</v>
      </c>
      <c r="N75" s="157">
        <v>208</v>
      </c>
      <c r="O75" s="157">
        <v>2</v>
      </c>
      <c r="P75" s="151">
        <f>N75*O75</f>
        <v>416</v>
      </c>
    </row>
    <row r="76" spans="1:16" s="20" customFormat="1" ht="24" customHeight="1" x14ac:dyDescent="0.25">
      <c r="B76" s="20">
        <v>122</v>
      </c>
      <c r="C76" s="146" t="s">
        <v>64</v>
      </c>
      <c r="D76" s="146" t="s">
        <v>65</v>
      </c>
      <c r="E76" s="147" t="s">
        <v>66</v>
      </c>
      <c r="F76" s="147" t="s">
        <v>201</v>
      </c>
      <c r="G76" s="147"/>
      <c r="H76" s="147" t="s">
        <v>295</v>
      </c>
      <c r="I76" s="148" t="s">
        <v>32</v>
      </c>
      <c r="J76" s="149">
        <v>41470</v>
      </c>
      <c r="K76" s="150">
        <f t="shared" si="9"/>
        <v>7</v>
      </c>
      <c r="L76" s="150" t="str">
        <f t="shared" si="6"/>
        <v>3 TRIM</v>
      </c>
      <c r="M76" s="148" t="s">
        <v>58</v>
      </c>
      <c r="N76" s="151">
        <v>1</v>
      </c>
      <c r="O76" s="151">
        <v>270</v>
      </c>
      <c r="P76" s="151">
        <f>N76*O76</f>
        <v>270</v>
      </c>
    </row>
    <row r="77" spans="1:16" s="20" customFormat="1" ht="24" x14ac:dyDescent="0.25">
      <c r="A77" s="83"/>
      <c r="B77" s="84">
        <v>57</v>
      </c>
      <c r="C77" s="146" t="s">
        <v>64</v>
      </c>
      <c r="D77" s="146" t="s">
        <v>65</v>
      </c>
      <c r="E77" s="147" t="s">
        <v>66</v>
      </c>
      <c r="F77" s="147" t="s">
        <v>7</v>
      </c>
      <c r="G77" s="147"/>
      <c r="H77" s="147" t="s">
        <v>216</v>
      </c>
      <c r="I77" s="148" t="s">
        <v>22</v>
      </c>
      <c r="J77" s="149">
        <v>41465</v>
      </c>
      <c r="K77" s="150">
        <f t="shared" si="9"/>
        <v>7</v>
      </c>
      <c r="L77" s="150" t="str">
        <f t="shared" si="6"/>
        <v>3 TRIM</v>
      </c>
      <c r="M77" s="148" t="s">
        <v>47</v>
      </c>
      <c r="N77" s="151">
        <v>1</v>
      </c>
      <c r="O77" s="151">
        <v>507.57</v>
      </c>
      <c r="P77" s="151">
        <f>N77*O77</f>
        <v>507.57</v>
      </c>
    </row>
    <row r="78" spans="1:16" s="20" customFormat="1" ht="24" customHeight="1" x14ac:dyDescent="0.25">
      <c r="B78" s="20">
        <v>119</v>
      </c>
      <c r="C78" s="146" t="s">
        <v>64</v>
      </c>
      <c r="D78" s="146" t="s">
        <v>65</v>
      </c>
      <c r="E78" s="147" t="s">
        <v>66</v>
      </c>
      <c r="F78" s="147" t="s">
        <v>70</v>
      </c>
      <c r="G78" s="147"/>
      <c r="H78" s="147" t="s">
        <v>294</v>
      </c>
      <c r="I78" s="156" t="s">
        <v>22</v>
      </c>
      <c r="J78" s="149">
        <v>41456</v>
      </c>
      <c r="K78" s="150">
        <f t="shared" si="9"/>
        <v>7</v>
      </c>
      <c r="L78" s="150" t="str">
        <f t="shared" si="6"/>
        <v>3 TRIM</v>
      </c>
      <c r="M78" s="148" t="s">
        <v>47</v>
      </c>
      <c r="N78" s="151">
        <v>1</v>
      </c>
      <c r="O78" s="151">
        <v>656.5</v>
      </c>
      <c r="P78" s="151">
        <f>N78*O78</f>
        <v>656.5</v>
      </c>
    </row>
    <row r="79" spans="1:16" s="20" customFormat="1" ht="24" customHeight="1" x14ac:dyDescent="0.25">
      <c r="B79" s="20">
        <v>117</v>
      </c>
      <c r="C79" s="146" t="s">
        <v>64</v>
      </c>
      <c r="D79" s="146" t="s">
        <v>65</v>
      </c>
      <c r="E79" s="147" t="s">
        <v>66</v>
      </c>
      <c r="F79" s="147" t="s">
        <v>7</v>
      </c>
      <c r="G79" s="147"/>
      <c r="H79" s="147" t="s">
        <v>292</v>
      </c>
      <c r="I79" s="156" t="s">
        <v>22</v>
      </c>
      <c r="J79" s="149">
        <v>41466</v>
      </c>
      <c r="K79" s="150">
        <f t="shared" si="9"/>
        <v>7</v>
      </c>
      <c r="L79" s="150" t="str">
        <f t="shared" si="6"/>
        <v>3 TRIM</v>
      </c>
      <c r="M79" s="148" t="s">
        <v>47</v>
      </c>
      <c r="N79" s="151">
        <v>1</v>
      </c>
      <c r="O79" s="151">
        <f>690*1.05</f>
        <v>724.5</v>
      </c>
      <c r="P79" s="151">
        <f>N79*O79</f>
        <v>724.5</v>
      </c>
    </row>
    <row r="80" spans="1:16" s="20" customFormat="1" ht="24" customHeight="1" x14ac:dyDescent="0.25">
      <c r="B80" s="20">
        <v>111</v>
      </c>
      <c r="C80" s="146" t="s">
        <v>71</v>
      </c>
      <c r="D80" s="146" t="s">
        <v>75</v>
      </c>
      <c r="E80" s="147" t="s">
        <v>72</v>
      </c>
      <c r="F80" s="147" t="s">
        <v>76</v>
      </c>
      <c r="G80" s="147"/>
      <c r="H80" s="147" t="s">
        <v>283</v>
      </c>
      <c r="I80" s="148" t="s">
        <v>32</v>
      </c>
      <c r="J80" s="149">
        <v>41597</v>
      </c>
      <c r="K80" s="150">
        <f t="shared" si="9"/>
        <v>11</v>
      </c>
      <c r="L80" s="150" t="str">
        <f t="shared" si="6"/>
        <v>4 TRIM</v>
      </c>
      <c r="M80" s="148" t="s">
        <v>58</v>
      </c>
      <c r="N80" s="151">
        <v>1</v>
      </c>
      <c r="O80" s="151">
        <v>8163.26</v>
      </c>
      <c r="P80" s="151">
        <f t="shared" si="5"/>
        <v>8163.26</v>
      </c>
    </row>
    <row r="81" spans="2:18" s="20" customFormat="1" ht="24" customHeight="1" x14ac:dyDescent="0.25">
      <c r="B81" s="20">
        <v>112</v>
      </c>
      <c r="C81" s="146" t="s">
        <v>71</v>
      </c>
      <c r="D81" s="146" t="s">
        <v>28</v>
      </c>
      <c r="E81" s="147" t="s">
        <v>72</v>
      </c>
      <c r="F81" s="147" t="s">
        <v>201</v>
      </c>
      <c r="G81" s="147"/>
      <c r="H81" s="147" t="s">
        <v>284</v>
      </c>
      <c r="I81" s="148" t="s">
        <v>32</v>
      </c>
      <c r="J81" s="149">
        <v>41590</v>
      </c>
      <c r="K81" s="150">
        <f t="shared" si="9"/>
        <v>11</v>
      </c>
      <c r="L81" s="150" t="str">
        <f t="shared" si="6"/>
        <v>4 TRIM</v>
      </c>
      <c r="M81" s="148" t="s">
        <v>58</v>
      </c>
      <c r="N81" s="157">
        <f>1/3</f>
        <v>0.33333333333333331</v>
      </c>
      <c r="O81" s="151">
        <v>1570</v>
      </c>
      <c r="P81" s="151">
        <f t="shared" si="5"/>
        <v>523.33333333333326</v>
      </c>
    </row>
    <row r="82" spans="2:18" s="20" customFormat="1" ht="48" x14ac:dyDescent="0.25">
      <c r="B82" s="20">
        <v>62</v>
      </c>
      <c r="C82" s="146" t="s">
        <v>71</v>
      </c>
      <c r="D82" s="146"/>
      <c r="E82" s="147" t="s">
        <v>73</v>
      </c>
      <c r="F82" s="147" t="s">
        <v>29</v>
      </c>
      <c r="G82" s="147"/>
      <c r="H82" s="147" t="s">
        <v>231</v>
      </c>
      <c r="I82" s="156" t="s">
        <v>22</v>
      </c>
      <c r="J82" s="149">
        <v>41424</v>
      </c>
      <c r="K82" s="150">
        <f t="shared" si="9"/>
        <v>5</v>
      </c>
      <c r="L82" s="150" t="str">
        <f t="shared" si="6"/>
        <v>2 TRIM</v>
      </c>
      <c r="M82" s="148" t="s">
        <v>50</v>
      </c>
      <c r="N82" s="151">
        <v>1</v>
      </c>
      <c r="O82" s="151">
        <v>380</v>
      </c>
      <c r="P82" s="151">
        <f t="shared" si="5"/>
        <v>380</v>
      </c>
    </row>
    <row r="83" spans="2:18" s="20" customFormat="1" ht="24" customHeight="1" x14ac:dyDescent="0.25">
      <c r="B83" s="20">
        <v>63</v>
      </c>
      <c r="C83" s="146" t="s">
        <v>71</v>
      </c>
      <c r="D83" s="146"/>
      <c r="E83" s="147" t="s">
        <v>73</v>
      </c>
      <c r="F83" s="147" t="s">
        <v>159</v>
      </c>
      <c r="G83" s="147"/>
      <c r="H83" s="147" t="s">
        <v>232</v>
      </c>
      <c r="I83" s="148" t="s">
        <v>22</v>
      </c>
      <c r="J83" s="149">
        <v>41425</v>
      </c>
      <c r="K83" s="150">
        <f t="shared" si="9"/>
        <v>5</v>
      </c>
      <c r="L83" s="150" t="str">
        <f t="shared" si="6"/>
        <v>2 TRIM</v>
      </c>
      <c r="M83" s="148" t="s">
        <v>23</v>
      </c>
      <c r="N83" s="151">
        <v>1</v>
      </c>
      <c r="O83" s="151">
        <v>88</v>
      </c>
      <c r="P83" s="151">
        <f t="shared" si="5"/>
        <v>88</v>
      </c>
    </row>
    <row r="84" spans="2:18" s="20" customFormat="1" ht="24" customHeight="1" x14ac:dyDescent="0.25">
      <c r="B84" s="20">
        <v>98</v>
      </c>
      <c r="C84" s="146" t="s">
        <v>71</v>
      </c>
      <c r="D84" s="146" t="s">
        <v>79</v>
      </c>
      <c r="E84" s="147" t="s">
        <v>74</v>
      </c>
      <c r="F84" s="147" t="s">
        <v>29</v>
      </c>
      <c r="G84" s="147"/>
      <c r="H84" s="147" t="s">
        <v>275</v>
      </c>
      <c r="I84" s="156" t="s">
        <v>22</v>
      </c>
      <c r="J84" s="149">
        <v>41605</v>
      </c>
      <c r="K84" s="150">
        <f t="shared" si="9"/>
        <v>11</v>
      </c>
      <c r="L84" s="150" t="str">
        <f t="shared" si="6"/>
        <v>4 TRIM</v>
      </c>
      <c r="M84" s="148" t="s">
        <v>23</v>
      </c>
      <c r="N84" s="151">
        <v>1</v>
      </c>
      <c r="O84" s="151">
        <v>500</v>
      </c>
      <c r="P84" s="151">
        <f>N84*O84</f>
        <v>500</v>
      </c>
    </row>
    <row r="85" spans="2:18" s="20" customFormat="1" ht="24" customHeight="1" x14ac:dyDescent="0.25">
      <c r="B85" s="20">
        <v>104</v>
      </c>
      <c r="C85" s="146" t="s">
        <v>71</v>
      </c>
      <c r="D85" s="146" t="s">
        <v>80</v>
      </c>
      <c r="E85" s="147" t="s">
        <v>74</v>
      </c>
      <c r="F85" s="147" t="s">
        <v>29</v>
      </c>
      <c r="G85" s="147"/>
      <c r="H85" s="147" t="s">
        <v>278</v>
      </c>
      <c r="I85" s="156" t="s">
        <v>22</v>
      </c>
      <c r="J85" s="149">
        <v>41412</v>
      </c>
      <c r="K85" s="150">
        <f t="shared" ref="K85:K90" si="10">MONTH(J85)</f>
        <v>5</v>
      </c>
      <c r="L85" s="150" t="str">
        <f t="shared" si="6"/>
        <v>2 TRIM</v>
      </c>
      <c r="M85" s="148" t="s">
        <v>23</v>
      </c>
      <c r="N85" s="151">
        <v>1</v>
      </c>
      <c r="O85" s="151">
        <v>400</v>
      </c>
      <c r="P85" s="151">
        <f>N85*O85</f>
        <v>400</v>
      </c>
    </row>
    <row r="86" spans="2:18" s="20" customFormat="1" ht="24" customHeight="1" x14ac:dyDescent="0.25">
      <c r="B86" s="20">
        <v>107</v>
      </c>
      <c r="C86" s="146" t="s">
        <v>71</v>
      </c>
      <c r="D86" s="146" t="s">
        <v>80</v>
      </c>
      <c r="E86" s="147" t="s">
        <v>74</v>
      </c>
      <c r="F86" s="147" t="s">
        <v>29</v>
      </c>
      <c r="G86" s="147"/>
      <c r="H86" s="147" t="s">
        <v>279</v>
      </c>
      <c r="I86" s="156" t="s">
        <v>22</v>
      </c>
      <c r="J86" s="149">
        <v>41612</v>
      </c>
      <c r="K86" s="150">
        <f t="shared" si="10"/>
        <v>12</v>
      </c>
      <c r="L86" s="150" t="str">
        <f t="shared" si="6"/>
        <v>4 TRIM</v>
      </c>
      <c r="M86" s="148" t="s">
        <v>47</v>
      </c>
      <c r="N86" s="151">
        <v>1</v>
      </c>
      <c r="O86" s="151">
        <v>963.92</v>
      </c>
      <c r="P86" s="151">
        <f>N86*O86</f>
        <v>963.92</v>
      </c>
    </row>
    <row r="87" spans="2:18" s="20" customFormat="1" ht="24" customHeight="1" x14ac:dyDescent="0.25">
      <c r="B87" s="20">
        <v>106</v>
      </c>
      <c r="C87" s="146" t="s">
        <v>71</v>
      </c>
      <c r="D87" s="146" t="s">
        <v>80</v>
      </c>
      <c r="E87" s="147" t="s">
        <v>74</v>
      </c>
      <c r="F87" s="147" t="s">
        <v>29</v>
      </c>
      <c r="G87" s="147"/>
      <c r="H87" s="147" t="s">
        <v>280</v>
      </c>
      <c r="I87" s="156" t="s">
        <v>22</v>
      </c>
      <c r="J87" s="149">
        <v>41607</v>
      </c>
      <c r="K87" s="150">
        <f t="shared" si="10"/>
        <v>11</v>
      </c>
      <c r="L87" s="150" t="str">
        <f t="shared" si="6"/>
        <v>4 TRIM</v>
      </c>
      <c r="M87" s="148" t="s">
        <v>47</v>
      </c>
      <c r="N87" s="151">
        <v>1</v>
      </c>
      <c r="O87" s="151">
        <v>36.5</v>
      </c>
      <c r="P87" s="151">
        <f>N87*O87</f>
        <v>36.5</v>
      </c>
    </row>
    <row r="88" spans="2:18" s="20" customFormat="1" ht="24" customHeight="1" x14ac:dyDescent="0.25">
      <c r="B88" s="20">
        <v>71</v>
      </c>
      <c r="C88" s="146" t="s">
        <v>71</v>
      </c>
      <c r="D88" s="146" t="s">
        <v>75</v>
      </c>
      <c r="E88" s="147" t="s">
        <v>81</v>
      </c>
      <c r="F88" s="147" t="s">
        <v>76</v>
      </c>
      <c r="G88" s="147"/>
      <c r="H88" s="147" t="s">
        <v>281</v>
      </c>
      <c r="I88" s="148" t="s">
        <v>22</v>
      </c>
      <c r="J88" s="149">
        <v>41416</v>
      </c>
      <c r="K88" s="150">
        <f t="shared" si="10"/>
        <v>5</v>
      </c>
      <c r="L88" s="150" t="str">
        <f t="shared" si="6"/>
        <v>2 TRIM</v>
      </c>
      <c r="M88" s="148" t="s">
        <v>42</v>
      </c>
      <c r="N88" s="151">
        <v>1</v>
      </c>
      <c r="O88" s="151">
        <v>8163.26</v>
      </c>
      <c r="P88" s="151">
        <f t="shared" si="5"/>
        <v>8163.26</v>
      </c>
      <c r="R88" s="21"/>
    </row>
    <row r="89" spans="2:18" s="20" customFormat="1" ht="24" customHeight="1" x14ac:dyDescent="0.25">
      <c r="B89" s="20">
        <v>110</v>
      </c>
      <c r="C89" s="146" t="s">
        <v>71</v>
      </c>
      <c r="D89" s="146" t="s">
        <v>28</v>
      </c>
      <c r="E89" s="147" t="s">
        <v>81</v>
      </c>
      <c r="F89" s="147" t="s">
        <v>201</v>
      </c>
      <c r="G89" s="147"/>
      <c r="H89" s="147" t="s">
        <v>313</v>
      </c>
      <c r="I89" s="148" t="s">
        <v>32</v>
      </c>
      <c r="J89" s="149">
        <v>41367</v>
      </c>
      <c r="K89" s="150">
        <f t="shared" si="10"/>
        <v>4</v>
      </c>
      <c r="L89" s="150" t="str">
        <f t="shared" si="6"/>
        <v>2 TRIM</v>
      </c>
      <c r="M89" s="148" t="s">
        <v>58</v>
      </c>
      <c r="N89" s="151">
        <v>0.5</v>
      </c>
      <c r="O89" s="151">
        <v>759</v>
      </c>
      <c r="P89" s="151">
        <f t="shared" si="5"/>
        <v>379.5</v>
      </c>
    </row>
    <row r="90" spans="2:18" s="20" customFormat="1" ht="24" customHeight="1" x14ac:dyDescent="0.25">
      <c r="B90" s="20">
        <v>114</v>
      </c>
      <c r="C90" s="146" t="s">
        <v>64</v>
      </c>
      <c r="D90" s="146" t="s">
        <v>65</v>
      </c>
      <c r="E90" s="147" t="s">
        <v>66</v>
      </c>
      <c r="F90" s="147" t="s">
        <v>201</v>
      </c>
      <c r="G90" s="147"/>
      <c r="H90" s="147" t="s">
        <v>311</v>
      </c>
      <c r="I90" s="148" t="s">
        <v>32</v>
      </c>
      <c r="J90" s="149">
        <v>41635</v>
      </c>
      <c r="K90" s="150">
        <f t="shared" si="10"/>
        <v>12</v>
      </c>
      <c r="L90" s="150" t="str">
        <f t="shared" si="6"/>
        <v>4 TRIM</v>
      </c>
      <c r="M90" s="148" t="s">
        <v>58</v>
      </c>
      <c r="N90" s="151">
        <v>1</v>
      </c>
      <c r="O90" s="151">
        <v>270</v>
      </c>
      <c r="P90" s="151">
        <f>N90*O90</f>
        <v>270</v>
      </c>
    </row>
    <row r="91" spans="2:18" s="20" customFormat="1" ht="24" customHeight="1" x14ac:dyDescent="0.25">
      <c r="B91" s="20">
        <v>82</v>
      </c>
      <c r="C91" s="152" t="s">
        <v>51</v>
      </c>
      <c r="D91" s="146" t="s">
        <v>52</v>
      </c>
      <c r="E91" s="153" t="s">
        <v>117</v>
      </c>
      <c r="F91" s="153" t="s">
        <v>315</v>
      </c>
      <c r="G91" s="153" t="str">
        <f>VLOOKUP(F91,'Salário e Custo Hora'!$B$48:$C$52,2,FALSE)</f>
        <v>Graduado</v>
      </c>
      <c r="H91" s="153"/>
      <c r="I91" s="148" t="s">
        <v>251</v>
      </c>
      <c r="J91" s="149">
        <v>41604</v>
      </c>
      <c r="K91" s="148">
        <f t="shared" ref="K91:K95" si="11">MONTH(J91)</f>
        <v>11</v>
      </c>
      <c r="L91" s="150" t="str">
        <f t="shared" ref="L91:L100" si="12">IF(K91&lt;=3,"1 TRIM",IF(K91&lt;=6,"2 TRIM",IF(K91&lt;=9,"3 TRIM","4 TRIM")))</f>
        <v>4 TRIM</v>
      </c>
      <c r="M91" s="148" t="s">
        <v>12</v>
      </c>
      <c r="N91" s="151">
        <f>20/60</f>
        <v>0.33333333333333331</v>
      </c>
      <c r="O91" s="157">
        <f>IF(ISNA(VLOOKUP($F91,'Salário e Custo Hora'!$B$28:$P$32,3+Investimentos!$K91,FALSE)),0,VLOOKUP($F91,'Salário e Custo Hora'!$B$28:$P$32,3+Investimentos!$K91,FALSE))</f>
        <v>12.181193052279875</v>
      </c>
      <c r="P91" s="151">
        <f t="shared" ref="P91:P95" si="13">IF(C91="",0,O91*N91)</f>
        <v>4.0603976840932914</v>
      </c>
    </row>
    <row r="92" spans="2:18" s="20" customFormat="1" ht="24" customHeight="1" x14ac:dyDescent="0.25">
      <c r="B92" s="20">
        <v>82</v>
      </c>
      <c r="C92" s="152" t="s">
        <v>51</v>
      </c>
      <c r="D92" s="146" t="s">
        <v>52</v>
      </c>
      <c r="E92" s="153" t="s">
        <v>117</v>
      </c>
      <c r="F92" s="153" t="s">
        <v>315</v>
      </c>
      <c r="G92" s="153" t="str">
        <f>VLOOKUP(F92,'Salário e Custo Hora'!$B$48:$C$52,2,FALSE)</f>
        <v>Graduado</v>
      </c>
      <c r="H92" s="153"/>
      <c r="I92" s="148" t="s">
        <v>251</v>
      </c>
      <c r="J92" s="149">
        <v>41604</v>
      </c>
      <c r="K92" s="148">
        <f t="shared" si="11"/>
        <v>11</v>
      </c>
      <c r="L92" s="150" t="str">
        <f t="shared" si="12"/>
        <v>4 TRIM</v>
      </c>
      <c r="M92" s="148" t="s">
        <v>12</v>
      </c>
      <c r="N92" s="151">
        <f>20/60</f>
        <v>0.33333333333333331</v>
      </c>
      <c r="O92" s="157">
        <f>IF(ISNA(VLOOKUP($F92,'Salário e Custo Hora'!$B$28:$P$32,3+Investimentos!$K92,FALSE)),0,VLOOKUP($F92,'Salário e Custo Hora'!$B$28:$P$32,3+Investimentos!$K92,FALSE))</f>
        <v>12.181193052279875</v>
      </c>
      <c r="P92" s="151">
        <f t="shared" si="13"/>
        <v>4.0603976840932914</v>
      </c>
    </row>
    <row r="93" spans="2:18" s="20" customFormat="1" ht="24" customHeight="1" x14ac:dyDescent="0.25">
      <c r="B93" s="20">
        <v>82</v>
      </c>
      <c r="C93" s="146" t="s">
        <v>18</v>
      </c>
      <c r="D93" s="146" t="s">
        <v>0</v>
      </c>
      <c r="E93" s="147" t="s">
        <v>3</v>
      </c>
      <c r="F93" s="147" t="s">
        <v>315</v>
      </c>
      <c r="G93" s="153" t="str">
        <f>VLOOKUP(F93,'Salário e Custo Hora'!$B$48:$C$52,2,FALSE)</f>
        <v>Graduado</v>
      </c>
      <c r="H93" s="147" t="s">
        <v>123</v>
      </c>
      <c r="I93" s="148" t="s">
        <v>251</v>
      </c>
      <c r="J93" s="149">
        <v>41605</v>
      </c>
      <c r="K93" s="148">
        <f t="shared" si="11"/>
        <v>11</v>
      </c>
      <c r="L93" s="150" t="str">
        <f t="shared" si="12"/>
        <v>4 TRIM</v>
      </c>
      <c r="M93" s="148" t="s">
        <v>12</v>
      </c>
      <c r="N93" s="151">
        <f>30/60</f>
        <v>0.5</v>
      </c>
      <c r="O93" s="157">
        <f>IF(ISNA(VLOOKUP($F93,'Salário e Custo Hora'!$B$28:$P$32,3+Investimentos!$K93,FALSE)),0,VLOOKUP($F93,'Salário e Custo Hora'!$B$28:$P$32,3+Investimentos!$K93,FALSE))</f>
        <v>12.181193052279875</v>
      </c>
      <c r="P93" s="151">
        <f t="shared" si="13"/>
        <v>6.0905965261399375</v>
      </c>
    </row>
    <row r="94" spans="2:18" s="20" customFormat="1" ht="24" customHeight="1" x14ac:dyDescent="0.25">
      <c r="B94" s="20">
        <v>82</v>
      </c>
      <c r="C94" s="152" t="s">
        <v>51</v>
      </c>
      <c r="D94" s="146" t="s">
        <v>112</v>
      </c>
      <c r="E94" s="147"/>
      <c r="F94" s="147" t="s">
        <v>315</v>
      </c>
      <c r="G94" s="153" t="str">
        <f>VLOOKUP(F94,'Salário e Custo Hora'!$B$48:$C$52,2,FALSE)</f>
        <v>Graduado</v>
      </c>
      <c r="H94" s="147" t="s">
        <v>124</v>
      </c>
      <c r="I94" s="148" t="s">
        <v>251</v>
      </c>
      <c r="J94" s="149">
        <v>41617</v>
      </c>
      <c r="K94" s="148">
        <f t="shared" si="11"/>
        <v>12</v>
      </c>
      <c r="L94" s="150" t="str">
        <f t="shared" si="12"/>
        <v>4 TRIM</v>
      </c>
      <c r="M94" s="148" t="s">
        <v>12</v>
      </c>
      <c r="N94" s="151">
        <f>190/60</f>
        <v>3.1666666666666665</v>
      </c>
      <c r="O94" s="157">
        <f>IF(ISNA(VLOOKUP($F94,'Salário e Custo Hora'!$B$28:$P$32,3+Investimentos!$K94,FALSE)),0,VLOOKUP($F94,'Salário e Custo Hora'!$B$28:$P$32,3+Investimentos!$K94,FALSE))</f>
        <v>11.601136240266548</v>
      </c>
      <c r="P94" s="151">
        <f t="shared" si="13"/>
        <v>36.736931427510733</v>
      </c>
    </row>
    <row r="95" spans="2:18" s="20" customFormat="1" ht="24" customHeight="1" x14ac:dyDescent="0.25">
      <c r="B95" s="20">
        <v>82</v>
      </c>
      <c r="C95" s="152" t="s">
        <v>51</v>
      </c>
      <c r="D95" s="146" t="s">
        <v>112</v>
      </c>
      <c r="E95" s="147"/>
      <c r="F95" s="147" t="s">
        <v>315</v>
      </c>
      <c r="G95" s="153" t="str">
        <f>VLOOKUP(F95,'Salário e Custo Hora'!$B$48:$C$52,2,FALSE)</f>
        <v>Graduado</v>
      </c>
      <c r="H95" s="147" t="s">
        <v>124</v>
      </c>
      <c r="I95" s="148" t="s">
        <v>251</v>
      </c>
      <c r="J95" s="149">
        <v>41618</v>
      </c>
      <c r="K95" s="148">
        <f t="shared" si="11"/>
        <v>12</v>
      </c>
      <c r="L95" s="150" t="str">
        <f t="shared" si="12"/>
        <v>4 TRIM</v>
      </c>
      <c r="M95" s="148" t="s">
        <v>12</v>
      </c>
      <c r="N95" s="151">
        <f>50/60</f>
        <v>0.83333333333333337</v>
      </c>
      <c r="O95" s="157">
        <f>IF(ISNA(VLOOKUP($F95,'Salário e Custo Hora'!$B$28:$P$32,3+Investimentos!$K95,FALSE)),0,VLOOKUP($F95,'Salário e Custo Hora'!$B$28:$P$32,3+Investimentos!$K95,FALSE))</f>
        <v>11.601136240266548</v>
      </c>
      <c r="P95" s="151">
        <f t="shared" si="13"/>
        <v>9.6676135335554569</v>
      </c>
    </row>
    <row r="96" spans="2:18" s="20" customFormat="1" ht="24" customHeight="1" x14ac:dyDescent="0.25">
      <c r="B96" s="20">
        <v>82</v>
      </c>
      <c r="C96" s="146" t="s">
        <v>64</v>
      </c>
      <c r="D96" s="146" t="s">
        <v>65</v>
      </c>
      <c r="E96" s="147" t="s">
        <v>66</v>
      </c>
      <c r="F96" s="147" t="s">
        <v>315</v>
      </c>
      <c r="G96" s="153" t="str">
        <f>VLOOKUP(F96,'Salário e Custo Hora'!$B$48:$C$52,2,FALSE)</f>
        <v>Graduado</v>
      </c>
      <c r="H96" s="147" t="s">
        <v>124</v>
      </c>
      <c r="I96" s="148" t="s">
        <v>251</v>
      </c>
      <c r="J96" s="149">
        <v>41624</v>
      </c>
      <c r="K96" s="148">
        <f t="shared" ref="K96:K99" si="14">MONTH(J96)</f>
        <v>12</v>
      </c>
      <c r="L96" s="150" t="str">
        <f t="shared" si="12"/>
        <v>4 TRIM</v>
      </c>
      <c r="M96" s="148" t="s">
        <v>12</v>
      </c>
      <c r="N96" s="151">
        <f>90/60</f>
        <v>1.5</v>
      </c>
      <c r="O96" s="157">
        <f>IF(ISNA(VLOOKUP($F96,'Salário e Custo Hora'!$B$28:$P$32,3+Investimentos!$K96,FALSE)),0,VLOOKUP($F96,'Salário e Custo Hora'!$B$28:$P$32,3+Investimentos!$K96,FALSE))</f>
        <v>11.601136240266548</v>
      </c>
      <c r="P96" s="151">
        <f t="shared" ref="P96:P98" si="15">IF(C96="",0,O96*N96)</f>
        <v>17.401704360399822</v>
      </c>
    </row>
    <row r="97" spans="1:18" s="20" customFormat="1" ht="24" customHeight="1" x14ac:dyDescent="0.25">
      <c r="B97" s="20">
        <v>82</v>
      </c>
      <c r="C97" s="146" t="s">
        <v>71</v>
      </c>
      <c r="D97" s="146" t="s">
        <v>75</v>
      </c>
      <c r="E97" s="147" t="s">
        <v>81</v>
      </c>
      <c r="F97" s="147" t="s">
        <v>315</v>
      </c>
      <c r="G97" s="153" t="str">
        <f>VLOOKUP(F97,'Salário e Custo Hora'!$B$48:$C$52,2,FALSE)</f>
        <v>Graduado</v>
      </c>
      <c r="H97" s="147" t="s">
        <v>126</v>
      </c>
      <c r="I97" s="148" t="s">
        <v>251</v>
      </c>
      <c r="J97" s="149">
        <v>41631</v>
      </c>
      <c r="K97" s="148">
        <f t="shared" si="14"/>
        <v>12</v>
      </c>
      <c r="L97" s="150" t="str">
        <f t="shared" si="12"/>
        <v>4 TRIM</v>
      </c>
      <c r="M97" s="148" t="s">
        <v>12</v>
      </c>
      <c r="N97" s="151">
        <f>45/60</f>
        <v>0.75</v>
      </c>
      <c r="O97" s="157">
        <f>IF(ISNA(VLOOKUP($F97,'Salário e Custo Hora'!$B$28:$P$32,3+Investimentos!$K97,FALSE)),0,VLOOKUP($F97,'Salário e Custo Hora'!$B$28:$P$32,3+Investimentos!$K97,FALSE))</f>
        <v>11.601136240266548</v>
      </c>
      <c r="P97" s="151">
        <f t="shared" si="15"/>
        <v>8.7008521801999112</v>
      </c>
    </row>
    <row r="98" spans="1:18" s="20" customFormat="1" ht="24" customHeight="1" x14ac:dyDescent="0.25">
      <c r="A98" s="83"/>
      <c r="B98" s="20">
        <v>83</v>
      </c>
      <c r="C98" s="152" t="s">
        <v>51</v>
      </c>
      <c r="D98" s="146" t="s">
        <v>112</v>
      </c>
      <c r="E98" s="147"/>
      <c r="F98" s="147" t="s">
        <v>7</v>
      </c>
      <c r="G98" s="153" t="str">
        <f>VLOOKUP(F98,'Salário e Custo Hora'!$B$48:$C$52,2,FALSE)</f>
        <v>Pós-Graduado</v>
      </c>
      <c r="H98" s="147" t="s">
        <v>209</v>
      </c>
      <c r="I98" s="148" t="s">
        <v>251</v>
      </c>
      <c r="J98" s="149">
        <v>41372</v>
      </c>
      <c r="K98" s="150">
        <f t="shared" si="14"/>
        <v>4</v>
      </c>
      <c r="L98" s="150" t="str">
        <f t="shared" si="12"/>
        <v>2 TRIM</v>
      </c>
      <c r="M98" s="148" t="s">
        <v>12</v>
      </c>
      <c r="N98" s="151">
        <f>90/60</f>
        <v>1.5</v>
      </c>
      <c r="O98" s="157">
        <f>IF(ISNA(VLOOKUP($F98,'Salário e Custo Hora'!$B$28:$P$32,3+Investimentos!$K98,FALSE)),0,VLOOKUP($F98,'Salário e Custo Hora'!$B$28:$P$32,3+Investimentos!$K98,FALSE))</f>
        <v>45.542459698250191</v>
      </c>
      <c r="P98" s="151">
        <f t="shared" si="15"/>
        <v>68.31368954737529</v>
      </c>
    </row>
    <row r="99" spans="1:18" s="8" customFormat="1" ht="24" x14ac:dyDescent="0.25">
      <c r="A99" s="88"/>
      <c r="B99" s="87" t="s">
        <v>218</v>
      </c>
      <c r="C99" s="152" t="s">
        <v>18</v>
      </c>
      <c r="D99" s="152" t="s">
        <v>0</v>
      </c>
      <c r="E99" s="153" t="s">
        <v>16</v>
      </c>
      <c r="F99" s="153" t="s">
        <v>7</v>
      </c>
      <c r="G99" s="153" t="str">
        <f>VLOOKUP(F99,'Salário e Custo Hora'!$B$48:$C$52,2,FALSE)</f>
        <v>Pós-Graduado</v>
      </c>
      <c r="H99" s="153" t="s">
        <v>41</v>
      </c>
      <c r="I99" s="148" t="s">
        <v>251</v>
      </c>
      <c r="J99" s="154">
        <v>41479</v>
      </c>
      <c r="K99" s="155">
        <f t="shared" si="14"/>
        <v>7</v>
      </c>
      <c r="L99" s="150" t="str">
        <f t="shared" si="12"/>
        <v>3 TRIM</v>
      </c>
      <c r="M99" s="156" t="s">
        <v>12</v>
      </c>
      <c r="N99" s="157">
        <v>6</v>
      </c>
      <c r="O99" s="157">
        <f>IF(ISNA(VLOOKUP($F99,'Salário e Custo Hora'!$B$28:$P$32,3+Investimentos!$K99,FALSE)),0,VLOOKUP($F99,'Salário e Custo Hora'!$B$28:$P$32,3+Investimentos!$K99,FALSE))</f>
        <v>43.562352754848007</v>
      </c>
      <c r="P99" s="157">
        <f>N99*O99</f>
        <v>261.37411652908804</v>
      </c>
    </row>
    <row r="100" spans="1:18" s="8" customFormat="1" ht="24" x14ac:dyDescent="0.25">
      <c r="A100" s="88"/>
      <c r="B100" s="87" t="s">
        <v>217</v>
      </c>
      <c r="C100" s="152" t="s">
        <v>18</v>
      </c>
      <c r="D100" s="152" t="s">
        <v>0</v>
      </c>
      <c r="E100" s="153" t="s">
        <v>131</v>
      </c>
      <c r="F100" s="153" t="s">
        <v>7</v>
      </c>
      <c r="G100" s="153" t="str">
        <f>VLOOKUP(F100,'Salário e Custo Hora'!$B$48:$C$52,2,FALSE)</f>
        <v>Pós-Graduado</v>
      </c>
      <c r="H100" s="153" t="s">
        <v>41</v>
      </c>
      <c r="I100" s="148" t="s">
        <v>251</v>
      </c>
      <c r="J100" s="154">
        <v>41484</v>
      </c>
      <c r="K100" s="155">
        <f t="shared" ref="K100" si="16">MONTH(J100)</f>
        <v>7</v>
      </c>
      <c r="L100" s="150" t="str">
        <f t="shared" si="12"/>
        <v>3 TRIM</v>
      </c>
      <c r="M100" s="156" t="s">
        <v>12</v>
      </c>
      <c r="N100" s="157">
        <f>8+20/60</f>
        <v>8.3333333333333339</v>
      </c>
      <c r="O100" s="157">
        <f>IF(ISNA(VLOOKUP($F100,'Salário e Custo Hora'!$B$28:$P$32,3+Investimentos!$K100,FALSE)),0,VLOOKUP($F100,'Salário e Custo Hora'!$B$28:$P$32,3+Investimentos!$K100,FALSE))</f>
        <v>43.562352754848007</v>
      </c>
      <c r="P100" s="157">
        <f t="shared" ref="P100" si="17">IF(C100="",0,O100*N100)</f>
        <v>363.01960629040008</v>
      </c>
    </row>
    <row r="101" spans="1:18" s="20" customFormat="1" ht="24" customHeight="1" x14ac:dyDescent="0.25">
      <c r="A101" s="86"/>
      <c r="B101" s="20">
        <v>116</v>
      </c>
      <c r="C101" s="146" t="s">
        <v>64</v>
      </c>
      <c r="D101" s="146" t="s">
        <v>65</v>
      </c>
      <c r="E101" s="187" t="s">
        <v>66</v>
      </c>
      <c r="F101" s="187" t="s">
        <v>159</v>
      </c>
      <c r="G101" s="187"/>
      <c r="H101" s="187" t="s">
        <v>290</v>
      </c>
      <c r="I101" s="188" t="s">
        <v>22</v>
      </c>
      <c r="J101" s="189">
        <v>41456</v>
      </c>
      <c r="K101" s="188">
        <v>7</v>
      </c>
      <c r="L101" s="188" t="s">
        <v>223</v>
      </c>
      <c r="M101" s="188" t="s">
        <v>23</v>
      </c>
      <c r="N101" s="190">
        <v>40</v>
      </c>
      <c r="O101" s="190">
        <v>4.6900000000000004</v>
      </c>
      <c r="P101" s="190">
        <f>N101*O101-8</f>
        <v>179.60000000000002</v>
      </c>
      <c r="R101" s="191" t="s">
        <v>337</v>
      </c>
    </row>
    <row r="102" spans="1:18" s="20" customFormat="1" ht="24" customHeight="1" x14ac:dyDescent="0.25">
      <c r="A102" s="86"/>
      <c r="B102" s="20">
        <v>116</v>
      </c>
      <c r="C102" s="146" t="s">
        <v>64</v>
      </c>
      <c r="D102" s="146" t="s">
        <v>65</v>
      </c>
      <c r="E102" s="187" t="s">
        <v>66</v>
      </c>
      <c r="F102" s="187" t="s">
        <v>159</v>
      </c>
      <c r="G102" s="187"/>
      <c r="H102" s="187" t="s">
        <v>291</v>
      </c>
      <c r="I102" s="188" t="s">
        <v>22</v>
      </c>
      <c r="J102" s="189">
        <v>41456</v>
      </c>
      <c r="K102" s="188">
        <v>7</v>
      </c>
      <c r="L102" s="188" t="s">
        <v>223</v>
      </c>
      <c r="M102" s="188" t="s">
        <v>23</v>
      </c>
      <c r="N102" s="190">
        <v>100</v>
      </c>
      <c r="O102" s="190">
        <v>5.39</v>
      </c>
      <c r="P102" s="190">
        <f>N102*O102-20</f>
        <v>519</v>
      </c>
      <c r="R102" s="191" t="s">
        <v>337</v>
      </c>
    </row>
    <row r="103" spans="1:18" s="20" customFormat="1" ht="24" customHeight="1" x14ac:dyDescent="0.25">
      <c r="A103" s="83"/>
      <c r="E103" s="84"/>
      <c r="F103" s="84"/>
      <c r="G103" s="84"/>
      <c r="H103" s="84"/>
      <c r="N103" s="85"/>
      <c r="O103" s="85"/>
      <c r="P103" s="85"/>
    </row>
    <row r="104" spans="1:18" s="20" customFormat="1" ht="24" customHeight="1" x14ac:dyDescent="0.25">
      <c r="A104" s="83"/>
      <c r="E104" s="84"/>
      <c r="F104" s="84"/>
      <c r="G104" s="84"/>
      <c r="H104" s="84"/>
      <c r="N104" s="85"/>
      <c r="O104" s="85"/>
      <c r="P104" s="85"/>
    </row>
    <row r="105" spans="1:18" s="20" customFormat="1" ht="24" customHeight="1" x14ac:dyDescent="0.25">
      <c r="A105" s="83"/>
      <c r="E105" s="84"/>
      <c r="F105" s="84"/>
      <c r="G105" s="84"/>
      <c r="H105" s="84"/>
      <c r="N105" s="85"/>
      <c r="O105" s="85"/>
      <c r="P105" s="85"/>
    </row>
    <row r="106" spans="1:18" s="20" customFormat="1" ht="24" customHeight="1" x14ac:dyDescent="0.25">
      <c r="A106" s="83"/>
      <c r="E106" s="84"/>
      <c r="F106" s="84"/>
      <c r="G106" s="84"/>
      <c r="H106" s="84"/>
      <c r="N106" s="85"/>
      <c r="O106" s="85"/>
      <c r="P106" s="85"/>
    </row>
    <row r="107" spans="1:18" s="20" customFormat="1" ht="24" customHeight="1" x14ac:dyDescent="0.25">
      <c r="A107" s="83"/>
      <c r="E107" s="84"/>
      <c r="F107" s="84"/>
      <c r="G107" s="84"/>
      <c r="H107" s="84"/>
      <c r="N107" s="85"/>
      <c r="O107" s="85"/>
      <c r="P107" s="85"/>
    </row>
    <row r="108" spans="1:18" s="20" customFormat="1" ht="24" customHeight="1" x14ac:dyDescent="0.25">
      <c r="A108" s="83"/>
      <c r="E108" s="84"/>
      <c r="F108" s="84"/>
      <c r="G108" s="84"/>
      <c r="H108" s="84"/>
      <c r="N108" s="85"/>
      <c r="O108" s="85"/>
      <c r="P108" s="85"/>
    </row>
    <row r="109" spans="1:18" s="20" customFormat="1" ht="24" customHeight="1" x14ac:dyDescent="0.25">
      <c r="A109" s="83"/>
      <c r="E109" s="84"/>
      <c r="F109" s="84"/>
      <c r="G109" s="84"/>
      <c r="H109" s="84"/>
      <c r="N109" s="85"/>
      <c r="O109" s="85"/>
      <c r="P109" s="85"/>
    </row>
    <row r="110" spans="1:18" s="20" customFormat="1" ht="24" customHeight="1" x14ac:dyDescent="0.25">
      <c r="A110" s="83"/>
      <c r="E110" s="84"/>
      <c r="F110" s="84"/>
      <c r="G110" s="84"/>
      <c r="H110" s="84"/>
      <c r="N110" s="85"/>
      <c r="O110" s="85"/>
      <c r="P110" s="85"/>
    </row>
    <row r="111" spans="1:18" s="20" customFormat="1" ht="24" customHeight="1" x14ac:dyDescent="0.25">
      <c r="A111" s="83"/>
      <c r="E111" s="84"/>
      <c r="F111" s="84"/>
      <c r="G111" s="84"/>
      <c r="H111" s="84"/>
      <c r="N111" s="85"/>
      <c r="O111" s="85"/>
      <c r="P111" s="85"/>
    </row>
    <row r="112" spans="1:18" s="20" customFormat="1" ht="24" customHeight="1" x14ac:dyDescent="0.25">
      <c r="A112" s="83"/>
      <c r="E112" s="84"/>
      <c r="F112" s="84"/>
      <c r="G112" s="84"/>
      <c r="H112" s="84"/>
      <c r="N112" s="85"/>
      <c r="O112" s="85"/>
      <c r="P112" s="85"/>
    </row>
    <row r="113" spans="1:16" s="20" customFormat="1" ht="24" customHeight="1" x14ac:dyDescent="0.25">
      <c r="A113" s="83"/>
      <c r="E113" s="84"/>
      <c r="F113" s="84"/>
      <c r="G113" s="84"/>
      <c r="H113" s="84"/>
      <c r="N113" s="85"/>
      <c r="O113" s="85"/>
      <c r="P113" s="85"/>
    </row>
    <row r="114" spans="1:16" s="20" customFormat="1" ht="24" customHeight="1" x14ac:dyDescent="0.25">
      <c r="A114" s="83"/>
      <c r="E114" s="84"/>
      <c r="F114" s="84"/>
      <c r="G114" s="84"/>
      <c r="H114" s="84"/>
      <c r="N114" s="85"/>
      <c r="O114" s="85"/>
      <c r="P114" s="85"/>
    </row>
    <row r="115" spans="1:16" s="20" customFormat="1" ht="24" customHeight="1" x14ac:dyDescent="0.25">
      <c r="A115" s="83"/>
      <c r="E115" s="84"/>
      <c r="F115" s="84"/>
      <c r="G115" s="84"/>
      <c r="H115" s="84"/>
      <c r="N115" s="85"/>
      <c r="O115" s="85"/>
      <c r="P115" s="85"/>
    </row>
    <row r="116" spans="1:16" s="20" customFormat="1" ht="24" customHeight="1" x14ac:dyDescent="0.25">
      <c r="A116" s="83"/>
      <c r="E116" s="84"/>
      <c r="F116" s="84"/>
      <c r="G116" s="84"/>
      <c r="H116" s="84"/>
      <c r="N116" s="85"/>
      <c r="O116" s="85"/>
      <c r="P116" s="85"/>
    </row>
    <row r="117" spans="1:16" s="20" customFormat="1" ht="24" customHeight="1" x14ac:dyDescent="0.25">
      <c r="A117" s="83"/>
      <c r="E117" s="84"/>
      <c r="F117" s="84"/>
      <c r="G117" s="84"/>
      <c r="H117" s="84"/>
      <c r="N117" s="85"/>
      <c r="O117" s="85"/>
      <c r="P117" s="85"/>
    </row>
    <row r="118" spans="1:16" s="20" customFormat="1" ht="24" customHeight="1" x14ac:dyDescent="0.25">
      <c r="A118" s="83"/>
      <c r="E118" s="84"/>
      <c r="F118" s="84"/>
      <c r="G118" s="84"/>
      <c r="H118" s="84"/>
      <c r="N118" s="85"/>
      <c r="O118" s="85"/>
      <c r="P118" s="85"/>
    </row>
    <row r="119" spans="1:16" s="20" customFormat="1" ht="24" customHeight="1" x14ac:dyDescent="0.25">
      <c r="A119" s="83"/>
      <c r="E119" s="84"/>
      <c r="F119" s="84"/>
      <c r="G119" s="84"/>
      <c r="H119" s="84"/>
      <c r="N119" s="85"/>
      <c r="O119" s="85"/>
      <c r="P119" s="85"/>
    </row>
    <row r="120" spans="1:16" s="20" customFormat="1" ht="24" customHeight="1" x14ac:dyDescent="0.25">
      <c r="A120" s="83"/>
      <c r="E120" s="84"/>
      <c r="F120" s="84"/>
      <c r="G120" s="84"/>
      <c r="H120" s="84"/>
      <c r="N120" s="85"/>
      <c r="O120" s="85"/>
      <c r="P120" s="85"/>
    </row>
    <row r="121" spans="1:16" s="20" customFormat="1" ht="24" customHeight="1" x14ac:dyDescent="0.25">
      <c r="A121" s="83"/>
      <c r="E121" s="84"/>
      <c r="F121" s="84"/>
      <c r="G121" s="84"/>
      <c r="H121" s="84"/>
      <c r="N121" s="85"/>
      <c r="O121" s="85"/>
      <c r="P121" s="85"/>
    </row>
    <row r="122" spans="1:16" s="20" customFormat="1" ht="24" customHeight="1" x14ac:dyDescent="0.25">
      <c r="A122" s="83"/>
      <c r="E122" s="84"/>
      <c r="F122" s="84"/>
      <c r="G122" s="84"/>
      <c r="H122" s="84"/>
      <c r="N122" s="85"/>
      <c r="O122" s="85"/>
      <c r="P122" s="85"/>
    </row>
    <row r="123" spans="1:16" s="20" customFormat="1" ht="24" customHeight="1" x14ac:dyDescent="0.25">
      <c r="A123" s="83"/>
      <c r="E123" s="84"/>
      <c r="F123" s="84"/>
      <c r="G123" s="84"/>
      <c r="H123" s="84"/>
      <c r="N123" s="85"/>
      <c r="O123" s="85"/>
      <c r="P123" s="85"/>
    </row>
    <row r="124" spans="1:16" s="20" customFormat="1" ht="24" customHeight="1" x14ac:dyDescent="0.25">
      <c r="A124" s="83"/>
      <c r="E124" s="84"/>
      <c r="F124" s="84"/>
      <c r="G124" s="84"/>
      <c r="H124" s="84"/>
      <c r="N124" s="85"/>
      <c r="O124" s="85"/>
      <c r="P124" s="85"/>
    </row>
    <row r="125" spans="1:16" s="20" customFormat="1" ht="24" customHeight="1" x14ac:dyDescent="0.25">
      <c r="A125" s="83"/>
      <c r="E125" s="84"/>
      <c r="F125" s="84"/>
      <c r="G125" s="84"/>
      <c r="H125" s="84"/>
      <c r="N125" s="85"/>
      <c r="O125" s="85"/>
      <c r="P125" s="85"/>
    </row>
    <row r="126" spans="1:16" s="20" customFormat="1" ht="24" customHeight="1" x14ac:dyDescent="0.25">
      <c r="A126" s="83"/>
      <c r="E126" s="84"/>
      <c r="F126" s="84"/>
      <c r="G126" s="84"/>
      <c r="H126" s="84"/>
      <c r="N126" s="85"/>
      <c r="O126" s="85"/>
      <c r="P126" s="85"/>
    </row>
    <row r="127" spans="1:16" s="20" customFormat="1" ht="24" customHeight="1" x14ac:dyDescent="0.25">
      <c r="A127" s="83"/>
      <c r="E127" s="84"/>
      <c r="F127" s="84"/>
      <c r="G127" s="84"/>
      <c r="H127" s="84"/>
      <c r="N127" s="85"/>
      <c r="O127" s="85"/>
      <c r="P127" s="85"/>
    </row>
    <row r="128" spans="1:16" s="20" customFormat="1" ht="24" customHeight="1" x14ac:dyDescent="0.25">
      <c r="A128" s="83"/>
      <c r="E128" s="84"/>
      <c r="F128" s="84"/>
      <c r="G128" s="84"/>
      <c r="H128" s="84"/>
      <c r="N128" s="85"/>
      <c r="O128" s="85"/>
      <c r="P128" s="85"/>
    </row>
    <row r="129" spans="1:16" s="20" customFormat="1" ht="24" customHeight="1" x14ac:dyDescent="0.25">
      <c r="A129" s="83"/>
      <c r="E129" s="84"/>
      <c r="F129" s="84"/>
      <c r="G129" s="84"/>
      <c r="H129" s="84"/>
      <c r="N129" s="85"/>
      <c r="O129" s="85"/>
      <c r="P129" s="85"/>
    </row>
    <row r="130" spans="1:16" s="20" customFormat="1" ht="24" customHeight="1" x14ac:dyDescent="0.25">
      <c r="A130" s="83"/>
      <c r="E130" s="84"/>
      <c r="F130" s="84"/>
      <c r="G130" s="84"/>
      <c r="H130" s="84"/>
      <c r="N130" s="85"/>
      <c r="O130" s="85"/>
      <c r="P130" s="85"/>
    </row>
    <row r="131" spans="1:16" s="20" customFormat="1" ht="24" customHeight="1" x14ac:dyDescent="0.25">
      <c r="A131" s="83"/>
      <c r="E131" s="84"/>
      <c r="F131" s="84"/>
      <c r="G131" s="84"/>
      <c r="H131" s="84"/>
      <c r="N131" s="85"/>
      <c r="O131" s="85"/>
      <c r="P131" s="85"/>
    </row>
    <row r="132" spans="1:16" s="20" customFormat="1" ht="24" customHeight="1" x14ac:dyDescent="0.25">
      <c r="A132" s="83"/>
      <c r="E132" s="84"/>
      <c r="F132" s="84"/>
      <c r="G132" s="84"/>
      <c r="H132" s="84"/>
      <c r="N132" s="85"/>
      <c r="O132" s="85"/>
      <c r="P132" s="85"/>
    </row>
    <row r="133" spans="1:16" s="20" customFormat="1" ht="24" customHeight="1" x14ac:dyDescent="0.25">
      <c r="A133" s="83"/>
      <c r="E133" s="84"/>
      <c r="F133" s="84"/>
      <c r="G133" s="84"/>
      <c r="H133" s="84"/>
      <c r="N133" s="85"/>
      <c r="O133" s="85"/>
      <c r="P133" s="85"/>
    </row>
    <row r="134" spans="1:16" s="20" customFormat="1" ht="24" customHeight="1" x14ac:dyDescent="0.25">
      <c r="A134" s="83"/>
      <c r="E134" s="84"/>
      <c r="F134" s="84"/>
      <c r="G134" s="84"/>
      <c r="H134" s="84"/>
      <c r="N134" s="85"/>
      <c r="O134" s="85"/>
      <c r="P134" s="85"/>
    </row>
    <row r="135" spans="1:16" s="20" customFormat="1" ht="24" customHeight="1" x14ac:dyDescent="0.25">
      <c r="A135" s="83"/>
      <c r="E135" s="84"/>
      <c r="F135" s="84"/>
      <c r="G135" s="84"/>
      <c r="H135" s="84"/>
      <c r="N135" s="85"/>
      <c r="O135" s="85"/>
      <c r="P135" s="85"/>
    </row>
    <row r="136" spans="1:16" s="20" customFormat="1" ht="24" customHeight="1" x14ac:dyDescent="0.25">
      <c r="A136" s="83"/>
      <c r="E136" s="84"/>
      <c r="F136" s="84"/>
      <c r="G136" s="84"/>
      <c r="H136" s="84"/>
      <c r="N136" s="85"/>
      <c r="O136" s="85"/>
      <c r="P136" s="85"/>
    </row>
    <row r="137" spans="1:16" s="20" customFormat="1" ht="24" customHeight="1" x14ac:dyDescent="0.25">
      <c r="A137" s="83"/>
      <c r="E137" s="84"/>
      <c r="F137" s="84"/>
      <c r="G137" s="84"/>
      <c r="H137" s="84"/>
      <c r="N137" s="85"/>
      <c r="O137" s="85"/>
      <c r="P137" s="85"/>
    </row>
    <row r="138" spans="1:16" s="20" customFormat="1" ht="24" customHeight="1" x14ac:dyDescent="0.25">
      <c r="A138" s="83"/>
      <c r="E138" s="84"/>
      <c r="F138" s="84"/>
      <c r="G138" s="84"/>
      <c r="H138" s="84"/>
      <c r="N138" s="85"/>
      <c r="O138" s="85"/>
      <c r="P138" s="85"/>
    </row>
    <row r="139" spans="1:16" s="20" customFormat="1" ht="24" customHeight="1" x14ac:dyDescent="0.25">
      <c r="A139" s="83"/>
      <c r="E139" s="84"/>
      <c r="F139" s="84"/>
      <c r="G139" s="84"/>
      <c r="H139" s="84"/>
      <c r="N139" s="85"/>
      <c r="O139" s="85"/>
      <c r="P139" s="85"/>
    </row>
    <row r="140" spans="1:16" s="20" customFormat="1" ht="24" customHeight="1" x14ac:dyDescent="0.25">
      <c r="A140" s="83"/>
      <c r="E140" s="84"/>
      <c r="F140" s="84"/>
      <c r="G140" s="84"/>
      <c r="H140" s="84"/>
      <c r="N140" s="85"/>
      <c r="O140" s="85"/>
      <c r="P140" s="85"/>
    </row>
    <row r="141" spans="1:16" s="20" customFormat="1" ht="24" customHeight="1" x14ac:dyDescent="0.25">
      <c r="A141" s="83"/>
      <c r="E141" s="84"/>
      <c r="F141" s="84"/>
      <c r="G141" s="84"/>
      <c r="H141" s="84"/>
      <c r="N141" s="85"/>
      <c r="O141" s="85"/>
      <c r="P141" s="85"/>
    </row>
    <row r="142" spans="1:16" s="20" customFormat="1" ht="24" customHeight="1" x14ac:dyDescent="0.25">
      <c r="A142" s="83"/>
      <c r="E142" s="84"/>
      <c r="F142" s="84"/>
      <c r="G142" s="84"/>
      <c r="H142" s="84"/>
      <c r="N142" s="85"/>
      <c r="O142" s="85"/>
      <c r="P142" s="85"/>
    </row>
    <row r="143" spans="1:16" s="20" customFormat="1" ht="24" customHeight="1" x14ac:dyDescent="0.25">
      <c r="A143" s="83"/>
      <c r="E143" s="84"/>
      <c r="F143" s="84"/>
      <c r="G143" s="84"/>
      <c r="H143" s="84"/>
      <c r="N143" s="85"/>
      <c r="O143" s="85"/>
      <c r="P143" s="85"/>
    </row>
    <row r="144" spans="1:16" s="20" customFormat="1" ht="24" customHeight="1" x14ac:dyDescent="0.25">
      <c r="A144" s="83"/>
      <c r="E144" s="84"/>
      <c r="F144" s="84"/>
      <c r="G144" s="84"/>
      <c r="H144" s="84"/>
      <c r="N144" s="85"/>
      <c r="O144" s="85"/>
      <c r="P144" s="85"/>
    </row>
    <row r="145" spans="1:16" s="20" customFormat="1" ht="24" customHeight="1" x14ac:dyDescent="0.25">
      <c r="A145" s="83"/>
      <c r="E145" s="84"/>
      <c r="F145" s="84"/>
      <c r="G145" s="84"/>
      <c r="H145" s="84"/>
      <c r="N145" s="85"/>
      <c r="O145" s="85"/>
      <c r="P145" s="85"/>
    </row>
    <row r="146" spans="1:16" s="20" customFormat="1" ht="24" customHeight="1" x14ac:dyDescent="0.25">
      <c r="A146" s="83"/>
      <c r="E146" s="84"/>
      <c r="F146" s="84"/>
      <c r="G146" s="84"/>
      <c r="H146" s="84"/>
      <c r="N146" s="85"/>
      <c r="O146" s="85"/>
      <c r="P146" s="85"/>
    </row>
    <row r="147" spans="1:16" s="20" customFormat="1" ht="24" customHeight="1" x14ac:dyDescent="0.25">
      <c r="A147" s="83"/>
      <c r="E147" s="84"/>
      <c r="F147" s="84"/>
      <c r="G147" s="84"/>
      <c r="H147" s="84"/>
      <c r="N147" s="85"/>
      <c r="O147" s="85"/>
      <c r="P147" s="85"/>
    </row>
    <row r="148" spans="1:16" s="20" customFormat="1" ht="24" customHeight="1" x14ac:dyDescent="0.25">
      <c r="A148" s="83"/>
      <c r="E148" s="84"/>
      <c r="F148" s="84"/>
      <c r="G148" s="84"/>
      <c r="H148" s="84"/>
      <c r="N148" s="85"/>
      <c r="O148" s="85"/>
      <c r="P148" s="85"/>
    </row>
    <row r="149" spans="1:16" s="20" customFormat="1" ht="24" customHeight="1" x14ac:dyDescent="0.25">
      <c r="A149" s="83"/>
      <c r="E149" s="84"/>
      <c r="F149" s="84"/>
      <c r="G149" s="84"/>
      <c r="H149" s="84"/>
      <c r="N149" s="85"/>
      <c r="O149" s="85"/>
      <c r="P149" s="85"/>
    </row>
    <row r="150" spans="1:16" s="20" customFormat="1" ht="24" customHeight="1" x14ac:dyDescent="0.25">
      <c r="A150" s="83"/>
      <c r="E150" s="84"/>
      <c r="F150" s="84"/>
      <c r="G150" s="84"/>
      <c r="H150" s="84"/>
      <c r="N150" s="85"/>
      <c r="O150" s="85"/>
      <c r="P150" s="85"/>
    </row>
    <row r="151" spans="1:16" s="20" customFormat="1" ht="24" customHeight="1" x14ac:dyDescent="0.25">
      <c r="A151" s="83"/>
      <c r="E151" s="84"/>
      <c r="F151" s="84"/>
      <c r="G151" s="84"/>
      <c r="H151" s="84"/>
      <c r="N151" s="85"/>
      <c r="O151" s="85"/>
      <c r="P151" s="85"/>
    </row>
    <row r="152" spans="1:16" s="20" customFormat="1" ht="24" customHeight="1" x14ac:dyDescent="0.25">
      <c r="A152" s="83"/>
      <c r="E152" s="84"/>
      <c r="F152" s="84"/>
      <c r="G152" s="84"/>
      <c r="H152" s="84"/>
      <c r="N152" s="85"/>
      <c r="O152" s="85"/>
      <c r="P152" s="85"/>
    </row>
    <row r="153" spans="1:16" s="20" customFormat="1" ht="24" customHeight="1" x14ac:dyDescent="0.25">
      <c r="A153" s="83"/>
      <c r="E153" s="84"/>
      <c r="F153" s="84"/>
      <c r="G153" s="84"/>
      <c r="H153" s="84"/>
      <c r="N153" s="85"/>
      <c r="O153" s="85"/>
      <c r="P153" s="85"/>
    </row>
    <row r="154" spans="1:16" s="20" customFormat="1" ht="24" customHeight="1" x14ac:dyDescent="0.25">
      <c r="A154" s="83"/>
      <c r="E154" s="84"/>
      <c r="F154" s="84"/>
      <c r="G154" s="84"/>
      <c r="H154" s="84"/>
      <c r="N154" s="85"/>
      <c r="O154" s="85"/>
      <c r="P154" s="85"/>
    </row>
    <row r="155" spans="1:16" s="20" customFormat="1" ht="24" customHeight="1" x14ac:dyDescent="0.25">
      <c r="A155" s="83"/>
      <c r="E155" s="84"/>
      <c r="F155" s="84"/>
      <c r="G155" s="84"/>
      <c r="H155" s="84"/>
      <c r="N155" s="85"/>
      <c r="O155" s="85"/>
      <c r="P155" s="85"/>
    </row>
    <row r="156" spans="1:16" s="20" customFormat="1" ht="24" customHeight="1" x14ac:dyDescent="0.25">
      <c r="A156" s="83"/>
      <c r="E156" s="84"/>
      <c r="F156" s="84"/>
      <c r="G156" s="84"/>
      <c r="H156" s="84"/>
      <c r="N156" s="85"/>
      <c r="O156" s="85"/>
      <c r="P156" s="85"/>
    </row>
    <row r="157" spans="1:16" s="20" customFormat="1" ht="24" customHeight="1" x14ac:dyDescent="0.25">
      <c r="A157" s="83"/>
      <c r="E157" s="84"/>
      <c r="F157" s="84"/>
      <c r="G157" s="84"/>
      <c r="H157" s="84"/>
      <c r="N157" s="85"/>
      <c r="O157" s="85"/>
      <c r="P157" s="85"/>
    </row>
    <row r="158" spans="1:16" s="20" customFormat="1" ht="24" customHeight="1" x14ac:dyDescent="0.25">
      <c r="A158" s="83"/>
      <c r="E158" s="84"/>
      <c r="F158" s="84"/>
      <c r="G158" s="84"/>
      <c r="H158" s="84"/>
      <c r="N158" s="85"/>
      <c r="O158" s="85"/>
      <c r="P158" s="85"/>
    </row>
    <row r="159" spans="1:16" s="20" customFormat="1" ht="24" customHeight="1" x14ac:dyDescent="0.25">
      <c r="A159" s="83"/>
      <c r="E159" s="84"/>
      <c r="F159" s="84"/>
      <c r="G159" s="84"/>
      <c r="H159" s="84"/>
      <c r="N159" s="85"/>
      <c r="O159" s="85"/>
      <c r="P159" s="85"/>
    </row>
    <row r="160" spans="1:16" s="20" customFormat="1" ht="24" customHeight="1" x14ac:dyDescent="0.25">
      <c r="A160" s="83"/>
      <c r="E160" s="84"/>
      <c r="F160" s="84"/>
      <c r="G160" s="84"/>
      <c r="H160" s="84"/>
      <c r="N160" s="85"/>
      <c r="O160" s="85"/>
      <c r="P160" s="85"/>
    </row>
    <row r="161" spans="1:16" s="20" customFormat="1" ht="24" customHeight="1" x14ac:dyDescent="0.25">
      <c r="A161" s="83"/>
      <c r="E161" s="84"/>
      <c r="F161" s="84"/>
      <c r="G161" s="84"/>
      <c r="H161" s="84"/>
      <c r="N161" s="85"/>
      <c r="O161" s="85"/>
      <c r="P161" s="85"/>
    </row>
    <row r="162" spans="1:16" s="20" customFormat="1" ht="24" customHeight="1" x14ac:dyDescent="0.25">
      <c r="A162" s="83"/>
      <c r="E162" s="84"/>
      <c r="F162" s="84"/>
      <c r="G162" s="84"/>
      <c r="H162" s="84"/>
      <c r="N162" s="85"/>
      <c r="O162" s="85"/>
      <c r="P162" s="85"/>
    </row>
    <row r="163" spans="1:16" s="20" customFormat="1" ht="24" customHeight="1" x14ac:dyDescent="0.25">
      <c r="A163" s="83"/>
      <c r="E163" s="84"/>
      <c r="F163" s="84"/>
      <c r="G163" s="84"/>
      <c r="H163" s="84"/>
      <c r="N163" s="85"/>
      <c r="O163" s="85"/>
      <c r="P163" s="85"/>
    </row>
    <row r="164" spans="1:16" s="20" customFormat="1" ht="24" customHeight="1" x14ac:dyDescent="0.25">
      <c r="A164" s="83"/>
      <c r="E164" s="84"/>
      <c r="F164" s="84"/>
      <c r="G164" s="84"/>
      <c r="H164" s="84"/>
      <c r="N164" s="85"/>
      <c r="O164" s="85"/>
      <c r="P164" s="85"/>
    </row>
    <row r="165" spans="1:16" s="20" customFormat="1" ht="24" customHeight="1" x14ac:dyDescent="0.25">
      <c r="A165" s="83"/>
      <c r="E165" s="84"/>
      <c r="F165" s="84"/>
      <c r="G165" s="84"/>
      <c r="H165" s="84"/>
      <c r="N165" s="85"/>
      <c r="O165" s="85"/>
      <c r="P165" s="85"/>
    </row>
    <row r="166" spans="1:16" s="20" customFormat="1" ht="24" customHeight="1" x14ac:dyDescent="0.25">
      <c r="A166" s="83"/>
      <c r="E166" s="84"/>
      <c r="F166" s="84"/>
      <c r="G166" s="84"/>
      <c r="H166" s="84"/>
      <c r="N166" s="85"/>
      <c r="O166" s="85"/>
      <c r="P166" s="85"/>
    </row>
    <row r="167" spans="1:16" s="20" customFormat="1" ht="24" customHeight="1" x14ac:dyDescent="0.25">
      <c r="A167" s="83"/>
      <c r="E167" s="84"/>
      <c r="F167" s="84"/>
      <c r="G167" s="84"/>
      <c r="H167" s="84"/>
      <c r="N167" s="85"/>
      <c r="O167" s="85"/>
      <c r="P167" s="85"/>
    </row>
    <row r="168" spans="1:16" s="20" customFormat="1" ht="24" customHeight="1" x14ac:dyDescent="0.25">
      <c r="A168" s="83"/>
      <c r="E168" s="84"/>
      <c r="F168" s="84"/>
      <c r="G168" s="84"/>
      <c r="H168" s="84"/>
      <c r="N168" s="85"/>
      <c r="O168" s="85"/>
      <c r="P168" s="85"/>
    </row>
    <row r="169" spans="1:16" s="20" customFormat="1" ht="24" customHeight="1" x14ac:dyDescent="0.25">
      <c r="A169" s="83"/>
      <c r="E169" s="84"/>
      <c r="F169" s="84"/>
      <c r="G169" s="84"/>
      <c r="H169" s="84"/>
      <c r="N169" s="85"/>
      <c r="O169" s="85"/>
      <c r="P169" s="85"/>
    </row>
    <row r="170" spans="1:16" s="20" customFormat="1" ht="24" customHeight="1" x14ac:dyDescent="0.25">
      <c r="A170" s="83"/>
      <c r="E170" s="84"/>
      <c r="F170" s="84"/>
      <c r="G170" s="84"/>
      <c r="H170" s="84"/>
      <c r="N170" s="85"/>
      <c r="O170" s="85"/>
      <c r="P170" s="85"/>
    </row>
    <row r="171" spans="1:16" s="20" customFormat="1" ht="24" customHeight="1" x14ac:dyDescent="0.25">
      <c r="A171" s="83"/>
      <c r="E171" s="84"/>
      <c r="F171" s="84"/>
      <c r="G171" s="84"/>
      <c r="H171" s="84"/>
      <c r="N171" s="85"/>
      <c r="O171" s="85"/>
      <c r="P171" s="85"/>
    </row>
    <row r="172" spans="1:16" s="20" customFormat="1" ht="24" customHeight="1" x14ac:dyDescent="0.25">
      <c r="A172" s="83"/>
      <c r="E172" s="84"/>
      <c r="F172" s="84"/>
      <c r="G172" s="84"/>
      <c r="H172" s="84"/>
      <c r="N172" s="85"/>
      <c r="O172" s="85"/>
      <c r="P172" s="85"/>
    </row>
    <row r="173" spans="1:16" s="20" customFormat="1" ht="24" customHeight="1" x14ac:dyDescent="0.25">
      <c r="A173" s="83"/>
      <c r="E173" s="84"/>
      <c r="F173" s="84"/>
      <c r="G173" s="84"/>
      <c r="H173" s="84"/>
      <c r="N173" s="85"/>
      <c r="O173" s="85"/>
      <c r="P173" s="85"/>
    </row>
    <row r="174" spans="1:16" s="20" customFormat="1" ht="24" customHeight="1" x14ac:dyDescent="0.25">
      <c r="A174" s="83"/>
      <c r="E174" s="84"/>
      <c r="F174" s="84"/>
      <c r="G174" s="84"/>
      <c r="H174" s="84"/>
      <c r="N174" s="85"/>
      <c r="O174" s="85"/>
      <c r="P174" s="85"/>
    </row>
    <row r="175" spans="1:16" s="20" customFormat="1" ht="24" customHeight="1" x14ac:dyDescent="0.25">
      <c r="A175" s="83"/>
      <c r="E175" s="84"/>
      <c r="F175" s="84"/>
      <c r="G175" s="84"/>
      <c r="H175" s="84"/>
      <c r="N175" s="85"/>
      <c r="O175" s="85"/>
      <c r="P175" s="85"/>
    </row>
    <row r="176" spans="1:16" s="20" customFormat="1" ht="24" customHeight="1" x14ac:dyDescent="0.25">
      <c r="A176" s="83"/>
      <c r="E176" s="84"/>
      <c r="F176" s="84"/>
      <c r="G176" s="84"/>
      <c r="H176" s="84"/>
      <c r="N176" s="85"/>
      <c r="O176" s="85"/>
      <c r="P176" s="85"/>
    </row>
    <row r="177" spans="1:16" s="20" customFormat="1" ht="24" customHeight="1" x14ac:dyDescent="0.25">
      <c r="A177" s="83"/>
      <c r="E177" s="84"/>
      <c r="F177" s="84"/>
      <c r="G177" s="84"/>
      <c r="H177" s="84"/>
      <c r="N177" s="85"/>
      <c r="O177" s="85"/>
      <c r="P177" s="85"/>
    </row>
    <row r="178" spans="1:16" s="20" customFormat="1" ht="24" customHeight="1" x14ac:dyDescent="0.25">
      <c r="A178" s="83"/>
      <c r="E178" s="84"/>
      <c r="F178" s="84"/>
      <c r="G178" s="84"/>
      <c r="H178" s="84"/>
      <c r="N178" s="85"/>
      <c r="O178" s="85"/>
      <c r="P178" s="85"/>
    </row>
    <row r="179" spans="1:16" s="20" customFormat="1" ht="24" customHeight="1" x14ac:dyDescent="0.25">
      <c r="A179" s="83"/>
      <c r="E179" s="84"/>
      <c r="F179" s="84"/>
      <c r="G179" s="84"/>
      <c r="H179" s="84"/>
      <c r="N179" s="85"/>
      <c r="O179" s="85"/>
      <c r="P179" s="85"/>
    </row>
    <row r="180" spans="1:16" s="20" customFormat="1" ht="24" customHeight="1" x14ac:dyDescent="0.25">
      <c r="A180" s="83"/>
      <c r="E180" s="84"/>
      <c r="F180" s="84"/>
      <c r="G180" s="84"/>
      <c r="H180" s="84"/>
      <c r="N180" s="85"/>
      <c r="O180" s="85"/>
      <c r="P180" s="85"/>
    </row>
    <row r="181" spans="1:16" s="20" customFormat="1" ht="24" customHeight="1" x14ac:dyDescent="0.25">
      <c r="A181" s="83"/>
      <c r="E181" s="84"/>
      <c r="F181" s="84"/>
      <c r="G181" s="84"/>
      <c r="H181" s="84"/>
      <c r="N181" s="85"/>
      <c r="O181" s="85"/>
      <c r="P181" s="85"/>
    </row>
    <row r="182" spans="1:16" s="20" customFormat="1" ht="24" customHeight="1" x14ac:dyDescent="0.25">
      <c r="A182" s="83"/>
      <c r="E182" s="84"/>
      <c r="F182" s="84"/>
      <c r="G182" s="84"/>
      <c r="H182" s="84"/>
      <c r="N182" s="85"/>
      <c r="O182" s="85"/>
      <c r="P182" s="85"/>
    </row>
    <row r="183" spans="1:16" s="20" customFormat="1" ht="24" customHeight="1" x14ac:dyDescent="0.25">
      <c r="A183" s="83"/>
      <c r="E183" s="84"/>
      <c r="F183" s="84"/>
      <c r="G183" s="84"/>
      <c r="H183" s="84"/>
      <c r="N183" s="85"/>
      <c r="O183" s="85"/>
      <c r="P183" s="85"/>
    </row>
    <row r="184" spans="1:16" s="20" customFormat="1" ht="24" customHeight="1" x14ac:dyDescent="0.25">
      <c r="A184" s="83"/>
      <c r="E184" s="84"/>
      <c r="F184" s="84"/>
      <c r="G184" s="84"/>
      <c r="H184" s="84"/>
      <c r="N184" s="85"/>
      <c r="O184" s="85"/>
      <c r="P184" s="85"/>
    </row>
    <row r="185" spans="1:16" s="20" customFormat="1" ht="24" customHeight="1" x14ac:dyDescent="0.25">
      <c r="A185" s="83"/>
      <c r="E185" s="84"/>
      <c r="F185" s="84"/>
      <c r="G185" s="84"/>
      <c r="H185" s="84"/>
      <c r="N185" s="85"/>
      <c r="O185" s="85"/>
      <c r="P185" s="85"/>
    </row>
    <row r="186" spans="1:16" s="20" customFormat="1" ht="24" customHeight="1" x14ac:dyDescent="0.25">
      <c r="A186" s="83"/>
      <c r="E186" s="84"/>
      <c r="F186" s="84"/>
      <c r="G186" s="84"/>
      <c r="H186" s="84"/>
      <c r="N186" s="85"/>
      <c r="O186" s="85"/>
      <c r="P186" s="85"/>
    </row>
    <row r="187" spans="1:16" s="20" customFormat="1" ht="24" customHeight="1" x14ac:dyDescent="0.25">
      <c r="A187" s="83"/>
      <c r="E187" s="84"/>
      <c r="F187" s="84"/>
      <c r="G187" s="84"/>
      <c r="H187" s="84"/>
      <c r="N187" s="85"/>
      <c r="O187" s="85"/>
      <c r="P187" s="85"/>
    </row>
    <row r="188" spans="1:16" s="20" customFormat="1" ht="24" customHeight="1" x14ac:dyDescent="0.25">
      <c r="A188" s="83"/>
      <c r="E188" s="84"/>
      <c r="F188" s="84"/>
      <c r="G188" s="84"/>
      <c r="H188" s="84"/>
      <c r="N188" s="85"/>
      <c r="O188" s="85"/>
      <c r="P188" s="85"/>
    </row>
    <row r="189" spans="1:16" s="20" customFormat="1" ht="24" customHeight="1" x14ac:dyDescent="0.25">
      <c r="A189" s="83"/>
      <c r="E189" s="84"/>
      <c r="F189" s="84"/>
      <c r="G189" s="84"/>
      <c r="H189" s="84"/>
      <c r="N189" s="85"/>
      <c r="O189" s="85"/>
      <c r="P189" s="85"/>
    </row>
    <row r="190" spans="1:16" s="20" customFormat="1" ht="24" customHeight="1" x14ac:dyDescent="0.25">
      <c r="A190" s="83"/>
      <c r="E190" s="84"/>
      <c r="F190" s="84"/>
      <c r="G190" s="84"/>
      <c r="H190" s="84"/>
      <c r="N190" s="85"/>
      <c r="O190" s="85"/>
      <c r="P190" s="85"/>
    </row>
    <row r="191" spans="1:16" s="20" customFormat="1" ht="24" customHeight="1" x14ac:dyDescent="0.25">
      <c r="A191" s="83"/>
      <c r="E191" s="84"/>
      <c r="F191" s="84"/>
      <c r="G191" s="84"/>
      <c r="H191" s="84"/>
      <c r="N191" s="85"/>
      <c r="O191" s="85"/>
      <c r="P191" s="85"/>
    </row>
    <row r="192" spans="1:16" s="20" customFormat="1" ht="24" customHeight="1" x14ac:dyDescent="0.25">
      <c r="A192" s="83"/>
      <c r="E192" s="84"/>
      <c r="F192" s="84"/>
      <c r="G192" s="84"/>
      <c r="H192" s="84"/>
      <c r="N192" s="85"/>
      <c r="O192" s="85"/>
      <c r="P192" s="85"/>
    </row>
    <row r="193" spans="1:16" s="20" customFormat="1" ht="24" customHeight="1" x14ac:dyDescent="0.25">
      <c r="A193" s="83"/>
      <c r="E193" s="84"/>
      <c r="F193" s="84"/>
      <c r="G193" s="84"/>
      <c r="H193" s="84"/>
      <c r="N193" s="85"/>
      <c r="O193" s="85"/>
      <c r="P193" s="85"/>
    </row>
    <row r="194" spans="1:16" s="20" customFormat="1" ht="24" customHeight="1" x14ac:dyDescent="0.25">
      <c r="A194" s="83"/>
      <c r="E194" s="84"/>
      <c r="F194" s="84"/>
      <c r="G194" s="84"/>
      <c r="H194" s="84"/>
      <c r="N194" s="85"/>
      <c r="O194" s="85"/>
      <c r="P194" s="85"/>
    </row>
    <row r="195" spans="1:16" s="20" customFormat="1" ht="24" customHeight="1" x14ac:dyDescent="0.25">
      <c r="A195" s="83"/>
      <c r="E195" s="84"/>
      <c r="F195" s="84"/>
      <c r="G195" s="84"/>
      <c r="H195" s="84"/>
      <c r="N195" s="85"/>
      <c r="O195" s="85"/>
      <c r="P195" s="85"/>
    </row>
    <row r="196" spans="1:16" s="20" customFormat="1" ht="24" customHeight="1" x14ac:dyDescent="0.25">
      <c r="A196" s="83"/>
      <c r="E196" s="84"/>
      <c r="F196" s="84"/>
      <c r="G196" s="84"/>
      <c r="H196" s="84"/>
      <c r="N196" s="85"/>
      <c r="O196" s="85"/>
      <c r="P196" s="85"/>
    </row>
    <row r="197" spans="1:16" s="20" customFormat="1" ht="24" customHeight="1" x14ac:dyDescent="0.25">
      <c r="A197" s="83"/>
      <c r="E197" s="84"/>
      <c r="F197" s="84"/>
      <c r="G197" s="84"/>
      <c r="H197" s="84"/>
      <c r="N197" s="85"/>
      <c r="O197" s="85"/>
      <c r="P197" s="85"/>
    </row>
    <row r="198" spans="1:16" s="20" customFormat="1" ht="24" customHeight="1" x14ac:dyDescent="0.25">
      <c r="A198" s="83"/>
      <c r="E198" s="84"/>
      <c r="F198" s="84"/>
      <c r="G198" s="84"/>
      <c r="H198" s="84"/>
      <c r="N198" s="85"/>
      <c r="O198" s="85"/>
      <c r="P198" s="85"/>
    </row>
    <row r="199" spans="1:16" s="20" customFormat="1" ht="24" customHeight="1" x14ac:dyDescent="0.25">
      <c r="A199" s="83"/>
      <c r="E199" s="84"/>
      <c r="F199" s="84"/>
      <c r="G199" s="84"/>
      <c r="H199" s="84"/>
      <c r="N199" s="85"/>
      <c r="O199" s="85"/>
      <c r="P199" s="85"/>
    </row>
    <row r="200" spans="1:16" s="20" customFormat="1" ht="24" customHeight="1" x14ac:dyDescent="0.25">
      <c r="A200" s="83"/>
      <c r="E200" s="84"/>
      <c r="F200" s="84"/>
      <c r="G200" s="84"/>
      <c r="H200" s="84"/>
      <c r="N200" s="85"/>
      <c r="O200" s="85"/>
      <c r="P200" s="85"/>
    </row>
    <row r="201" spans="1:16" s="20" customFormat="1" ht="24" customHeight="1" x14ac:dyDescent="0.25">
      <c r="A201" s="83"/>
      <c r="E201" s="84"/>
      <c r="F201" s="84"/>
      <c r="G201" s="84"/>
      <c r="H201" s="84"/>
      <c r="N201" s="85"/>
      <c r="O201" s="85"/>
      <c r="P201" s="85"/>
    </row>
    <row r="202" spans="1:16" s="20" customFormat="1" ht="24" customHeight="1" x14ac:dyDescent="0.25">
      <c r="A202" s="83"/>
      <c r="E202" s="84"/>
      <c r="F202" s="84"/>
      <c r="G202" s="84"/>
      <c r="H202" s="84"/>
      <c r="N202" s="85"/>
      <c r="O202" s="85"/>
      <c r="P202" s="85"/>
    </row>
    <row r="203" spans="1:16" s="20" customFormat="1" ht="24" customHeight="1" x14ac:dyDescent="0.25">
      <c r="A203" s="83"/>
      <c r="E203" s="84"/>
      <c r="F203" s="84"/>
      <c r="G203" s="84"/>
      <c r="H203" s="84"/>
      <c r="N203" s="85"/>
      <c r="O203" s="85"/>
      <c r="P203" s="85"/>
    </row>
    <row r="204" spans="1:16" s="20" customFormat="1" ht="24" customHeight="1" x14ac:dyDescent="0.25">
      <c r="A204" s="83"/>
      <c r="E204" s="84"/>
      <c r="F204" s="84"/>
      <c r="G204" s="84"/>
      <c r="H204" s="84"/>
      <c r="N204" s="85"/>
      <c r="O204" s="85"/>
      <c r="P204" s="85"/>
    </row>
    <row r="205" spans="1:16" s="20" customFormat="1" ht="24" customHeight="1" x14ac:dyDescent="0.25">
      <c r="A205" s="83"/>
      <c r="E205" s="84"/>
      <c r="F205" s="84"/>
      <c r="G205" s="84"/>
      <c r="H205" s="84"/>
      <c r="N205" s="85"/>
      <c r="O205" s="85"/>
      <c r="P205" s="85"/>
    </row>
    <row r="206" spans="1:16" s="20" customFormat="1" ht="24" customHeight="1" x14ac:dyDescent="0.25">
      <c r="A206" s="83"/>
      <c r="E206" s="84"/>
      <c r="F206" s="84"/>
      <c r="G206" s="84"/>
      <c r="H206" s="84"/>
      <c r="N206" s="85"/>
      <c r="O206" s="85"/>
      <c r="P206" s="85"/>
    </row>
    <row r="207" spans="1:16" s="20" customFormat="1" ht="24" customHeight="1" x14ac:dyDescent="0.25">
      <c r="A207" s="83"/>
      <c r="E207" s="84"/>
      <c r="F207" s="84"/>
      <c r="G207" s="84"/>
      <c r="H207" s="84"/>
      <c r="N207" s="85"/>
      <c r="O207" s="85"/>
      <c r="P207" s="85"/>
    </row>
    <row r="208" spans="1:16" s="20" customFormat="1" ht="24" customHeight="1" x14ac:dyDescent="0.25">
      <c r="A208" s="83"/>
      <c r="E208" s="84"/>
      <c r="F208" s="84"/>
      <c r="G208" s="84"/>
      <c r="H208" s="84"/>
      <c r="N208" s="85"/>
      <c r="O208" s="85"/>
      <c r="P208" s="85"/>
    </row>
    <row r="209" spans="1:16" s="20" customFormat="1" ht="24" customHeight="1" x14ac:dyDescent="0.25">
      <c r="A209" s="83"/>
      <c r="E209" s="84"/>
      <c r="F209" s="84"/>
      <c r="G209" s="84"/>
      <c r="H209" s="84"/>
      <c r="N209" s="85"/>
      <c r="O209" s="85"/>
      <c r="P209" s="85"/>
    </row>
    <row r="210" spans="1:16" s="20" customFormat="1" ht="24" customHeight="1" x14ac:dyDescent="0.25">
      <c r="A210" s="83"/>
      <c r="E210" s="84"/>
      <c r="F210" s="84"/>
      <c r="G210" s="84"/>
      <c r="H210" s="84"/>
      <c r="N210" s="85"/>
      <c r="O210" s="85"/>
      <c r="P210" s="85"/>
    </row>
    <row r="211" spans="1:16" s="20" customFormat="1" ht="24" customHeight="1" x14ac:dyDescent="0.25">
      <c r="A211" s="83"/>
      <c r="E211" s="84"/>
      <c r="F211" s="84"/>
      <c r="G211" s="84"/>
      <c r="H211" s="84"/>
      <c r="N211" s="85"/>
      <c r="O211" s="85"/>
      <c r="P211" s="85"/>
    </row>
    <row r="212" spans="1:16" s="20" customFormat="1" ht="24" customHeight="1" x14ac:dyDescent="0.25">
      <c r="A212" s="83"/>
      <c r="E212" s="84"/>
      <c r="F212" s="84"/>
      <c r="G212" s="84"/>
      <c r="H212" s="84"/>
      <c r="N212" s="85"/>
      <c r="O212" s="85"/>
      <c r="P212" s="85"/>
    </row>
    <row r="213" spans="1:16" s="20" customFormat="1" ht="24" customHeight="1" x14ac:dyDescent="0.25">
      <c r="A213" s="83"/>
      <c r="E213" s="84"/>
      <c r="F213" s="84"/>
      <c r="G213" s="84"/>
      <c r="H213" s="84"/>
      <c r="N213" s="85"/>
      <c r="O213" s="85"/>
      <c r="P213" s="85"/>
    </row>
    <row r="214" spans="1:16" s="20" customFormat="1" ht="24" customHeight="1" x14ac:dyDescent="0.25">
      <c r="A214" s="83"/>
      <c r="E214" s="84"/>
      <c r="F214" s="84"/>
      <c r="G214" s="84"/>
      <c r="H214" s="84"/>
      <c r="N214" s="85"/>
      <c r="O214" s="85"/>
      <c r="P214" s="85"/>
    </row>
    <row r="215" spans="1:16" s="20" customFormat="1" ht="24" customHeight="1" x14ac:dyDescent="0.25">
      <c r="A215" s="83"/>
      <c r="E215" s="84"/>
      <c r="F215" s="84"/>
      <c r="G215" s="84"/>
      <c r="H215" s="84"/>
      <c r="N215" s="85"/>
      <c r="O215" s="85"/>
      <c r="P215" s="85"/>
    </row>
    <row r="216" spans="1:16" s="20" customFormat="1" ht="24" customHeight="1" x14ac:dyDescent="0.25">
      <c r="A216" s="83"/>
      <c r="E216" s="84"/>
      <c r="F216" s="84"/>
      <c r="G216" s="84"/>
      <c r="H216" s="84"/>
      <c r="N216" s="85"/>
      <c r="O216" s="85"/>
      <c r="P216" s="85"/>
    </row>
    <row r="217" spans="1:16" s="20" customFormat="1" ht="24" customHeight="1" x14ac:dyDescent="0.25">
      <c r="A217" s="83"/>
      <c r="E217" s="84"/>
      <c r="F217" s="84"/>
      <c r="G217" s="84"/>
      <c r="H217" s="84"/>
      <c r="N217" s="85"/>
      <c r="O217" s="85"/>
      <c r="P217" s="85"/>
    </row>
    <row r="218" spans="1:16" s="20" customFormat="1" ht="24" customHeight="1" x14ac:dyDescent="0.25">
      <c r="A218" s="83"/>
      <c r="E218" s="84"/>
      <c r="F218" s="84"/>
      <c r="G218" s="84"/>
      <c r="H218" s="84"/>
      <c r="N218" s="85"/>
      <c r="O218" s="85"/>
      <c r="P218" s="85"/>
    </row>
    <row r="219" spans="1:16" s="20" customFormat="1" ht="24" customHeight="1" x14ac:dyDescent="0.25">
      <c r="A219" s="83"/>
      <c r="E219" s="84"/>
      <c r="F219" s="84"/>
      <c r="G219" s="84"/>
      <c r="H219" s="84"/>
      <c r="N219" s="85"/>
      <c r="O219" s="85"/>
      <c r="P219" s="85"/>
    </row>
    <row r="220" spans="1:16" s="20" customFormat="1" ht="24" customHeight="1" x14ac:dyDescent="0.25">
      <c r="A220" s="83"/>
      <c r="E220" s="84"/>
      <c r="F220" s="84"/>
      <c r="G220" s="84"/>
      <c r="H220" s="84"/>
      <c r="N220" s="85"/>
      <c r="O220" s="85"/>
      <c r="P220" s="85"/>
    </row>
    <row r="1048462" spans="15:15" x14ac:dyDescent="0.25">
      <c r="O1048462" s="85"/>
    </row>
  </sheetData>
  <autoFilter ref="A5:P102"/>
  <pageMargins left="0.23622047244094491" right="0.23622047244094491" top="0.74803149606299213" bottom="0.74803149606299213" header="0.31496062992125984" footer="0.31496062992125984"/>
  <pageSetup paperSize="9" scale="75" fitToHeight="0" orientation="landscape" r:id="rId1"/>
  <headerFooter>
    <oddFooter>&amp;C&amp;8____________________
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zoomScaleNormal="100" workbookViewId="0">
      <selection activeCell="D16" sqref="D16"/>
    </sheetView>
  </sheetViews>
  <sheetFormatPr defaultRowHeight="12.75" x14ac:dyDescent="0.2"/>
  <cols>
    <col min="1" max="1" width="9" style="17"/>
    <col min="2" max="2" width="38" style="17" customWidth="1"/>
    <col min="3" max="3" width="19.625" style="17" customWidth="1"/>
    <col min="4" max="4" width="23.625" style="17" customWidth="1"/>
    <col min="5" max="5" width="18.375" style="17" customWidth="1"/>
    <col min="6" max="6" width="12.5" style="17" customWidth="1"/>
    <col min="7" max="7" width="20.75" style="2" bestFit="1" customWidth="1"/>
    <col min="8" max="8" width="11.375" style="17" bestFit="1" customWidth="1"/>
    <col min="9" max="9" width="14.375" style="17" customWidth="1"/>
    <col min="10" max="10" width="11.125" style="17" customWidth="1"/>
    <col min="11" max="11" width="9.375" style="17" customWidth="1"/>
    <col min="12" max="16384" width="9" style="17"/>
  </cols>
  <sheetData>
    <row r="1" spans="1:10" customFormat="1" ht="18.75" x14ac:dyDescent="0.3">
      <c r="A1" s="17"/>
      <c r="B1" s="131" t="s">
        <v>102</v>
      </c>
      <c r="G1" s="3"/>
    </row>
    <row r="2" spans="1:10" customFormat="1" ht="15.75" x14ac:dyDescent="0.25">
      <c r="A2" s="17"/>
      <c r="B2" s="132" t="s">
        <v>97</v>
      </c>
      <c r="G2" s="3"/>
      <c r="I2" s="22"/>
    </row>
    <row r="3" spans="1:10" customFormat="1" ht="15.75" x14ac:dyDescent="0.25">
      <c r="A3" s="17"/>
      <c r="B3" s="132" t="s">
        <v>148</v>
      </c>
      <c r="F3" s="22"/>
      <c r="G3" s="69"/>
    </row>
    <row r="4" spans="1:10" customFormat="1" ht="15.75" x14ac:dyDescent="0.25">
      <c r="G4" s="3"/>
      <c r="H4" s="22"/>
    </row>
    <row r="5" spans="1:10" s="54" customFormat="1" x14ac:dyDescent="0.2">
      <c r="B5" s="55" t="s">
        <v>109</v>
      </c>
      <c r="C5" s="55" t="s">
        <v>158</v>
      </c>
      <c r="D5" s="56" t="s">
        <v>103</v>
      </c>
      <c r="E5" s="56" t="s">
        <v>225</v>
      </c>
      <c r="F5" s="56" t="s">
        <v>242</v>
      </c>
      <c r="G5" s="56" t="s">
        <v>243</v>
      </c>
      <c r="H5" s="56" t="s">
        <v>244</v>
      </c>
      <c r="I5" s="56" t="s">
        <v>246</v>
      </c>
      <c r="J5" s="57" t="s">
        <v>332</v>
      </c>
    </row>
    <row r="6" spans="1:10" x14ac:dyDescent="0.2">
      <c r="A6" s="37" t="s">
        <v>266</v>
      </c>
      <c r="B6" s="41" t="s">
        <v>239</v>
      </c>
      <c r="C6" s="2" t="s">
        <v>228</v>
      </c>
      <c r="D6" s="42">
        <v>41275</v>
      </c>
      <c r="E6" s="42" t="str">
        <f>IF(MONTH(D6)&lt;=3,"1 TRIM",IF(MONTH(D6)&lt;=6,"2 TRIM",IF(MONTH(D6)&lt;=9,"3 TRIM","4TRIM")))</f>
        <v>1 TRIM</v>
      </c>
      <c r="F6" s="1">
        <v>23734.94</v>
      </c>
      <c r="G6" s="53">
        <v>0.3</v>
      </c>
      <c r="H6" s="1">
        <f>F6*G6</f>
        <v>7120.4819999999991</v>
      </c>
      <c r="I6" s="1" t="s">
        <v>152</v>
      </c>
      <c r="J6" s="174" t="s">
        <v>335</v>
      </c>
    </row>
    <row r="7" spans="1:10" x14ac:dyDescent="0.2">
      <c r="B7" s="41" t="s">
        <v>239</v>
      </c>
      <c r="C7" s="2" t="s">
        <v>228</v>
      </c>
      <c r="D7" s="42">
        <v>41306</v>
      </c>
      <c r="E7" s="42" t="str">
        <f t="shared" ref="E7:E14" si="0">IF(MONTH(D7)&lt;=3,"1 TRIM",IF(MONTH(D7)&lt;=6,"2 TRIM",IF(MONTH(D7)&lt;=9,"3 TRIM","4TRIM")))</f>
        <v>1 TRIM</v>
      </c>
      <c r="F7" s="1">
        <v>23734.94</v>
      </c>
      <c r="G7" s="53">
        <v>0.3</v>
      </c>
      <c r="H7" s="1">
        <f t="shared" ref="H7:H24" si="1">F7*G7</f>
        <v>7120.4819999999991</v>
      </c>
      <c r="I7" s="1" t="s">
        <v>152</v>
      </c>
      <c r="J7" s="174" t="s">
        <v>335</v>
      </c>
    </row>
    <row r="8" spans="1:10" x14ac:dyDescent="0.2">
      <c r="B8" s="41" t="s">
        <v>239</v>
      </c>
      <c r="C8" s="2" t="s">
        <v>228</v>
      </c>
      <c r="D8" s="42">
        <v>41334</v>
      </c>
      <c r="E8" s="42" t="str">
        <f t="shared" si="0"/>
        <v>1 TRIM</v>
      </c>
      <c r="F8" s="1">
        <v>23734.94</v>
      </c>
      <c r="G8" s="53">
        <v>0.3</v>
      </c>
      <c r="H8" s="1">
        <f t="shared" si="1"/>
        <v>7120.4819999999991</v>
      </c>
      <c r="I8" s="1" t="s">
        <v>152</v>
      </c>
      <c r="J8" s="174" t="s">
        <v>335</v>
      </c>
    </row>
    <row r="9" spans="1:10" x14ac:dyDescent="0.2">
      <c r="B9" s="41" t="s">
        <v>239</v>
      </c>
      <c r="C9" s="2" t="s">
        <v>228</v>
      </c>
      <c r="D9" s="42">
        <v>41365</v>
      </c>
      <c r="E9" s="42" t="str">
        <f t="shared" si="0"/>
        <v>2 TRIM</v>
      </c>
      <c r="F9" s="1">
        <v>23734.94</v>
      </c>
      <c r="G9" s="53">
        <v>0.3</v>
      </c>
      <c r="H9" s="1">
        <f t="shared" si="1"/>
        <v>7120.4819999999991</v>
      </c>
      <c r="I9" s="1" t="s">
        <v>152</v>
      </c>
      <c r="J9" s="174" t="s">
        <v>335</v>
      </c>
    </row>
    <row r="10" spans="1:10" x14ac:dyDescent="0.2">
      <c r="B10" s="41" t="s">
        <v>239</v>
      </c>
      <c r="C10" s="2" t="s">
        <v>228</v>
      </c>
      <c r="D10" s="42">
        <v>41395</v>
      </c>
      <c r="E10" s="42" t="str">
        <f t="shared" si="0"/>
        <v>2 TRIM</v>
      </c>
      <c r="F10" s="1">
        <v>23734.94</v>
      </c>
      <c r="G10" s="53">
        <v>0.3</v>
      </c>
      <c r="H10" s="1">
        <f t="shared" si="1"/>
        <v>7120.4819999999991</v>
      </c>
      <c r="I10" s="1" t="s">
        <v>152</v>
      </c>
      <c r="J10" s="174" t="s">
        <v>335</v>
      </c>
    </row>
    <row r="11" spans="1:10" x14ac:dyDescent="0.2">
      <c r="B11" s="41" t="s">
        <v>239</v>
      </c>
      <c r="C11" s="2" t="s">
        <v>228</v>
      </c>
      <c r="D11" s="42">
        <v>41426</v>
      </c>
      <c r="E11" s="42" t="str">
        <f t="shared" si="0"/>
        <v>2 TRIM</v>
      </c>
      <c r="F11" s="1">
        <v>23734.94</v>
      </c>
      <c r="G11" s="53">
        <v>0.3</v>
      </c>
      <c r="H11" s="1">
        <f t="shared" si="1"/>
        <v>7120.4819999999991</v>
      </c>
      <c r="I11" s="1" t="s">
        <v>152</v>
      </c>
      <c r="J11" s="174" t="s">
        <v>335</v>
      </c>
    </row>
    <row r="12" spans="1:10" x14ac:dyDescent="0.2">
      <c r="B12" s="41" t="s">
        <v>239</v>
      </c>
      <c r="C12" s="2" t="s">
        <v>228</v>
      </c>
      <c r="D12" s="42">
        <v>41456</v>
      </c>
      <c r="E12" s="42" t="str">
        <f t="shared" si="0"/>
        <v>3 TRIM</v>
      </c>
      <c r="F12" s="1">
        <v>23734.94</v>
      </c>
      <c r="G12" s="53">
        <v>0.3</v>
      </c>
      <c r="H12" s="1">
        <f t="shared" si="1"/>
        <v>7120.4819999999991</v>
      </c>
      <c r="I12" s="1" t="s">
        <v>152</v>
      </c>
      <c r="J12" s="174" t="s">
        <v>335</v>
      </c>
    </row>
    <row r="13" spans="1:10" x14ac:dyDescent="0.2">
      <c r="B13" s="41" t="s">
        <v>239</v>
      </c>
      <c r="C13" s="2" t="s">
        <v>228</v>
      </c>
      <c r="D13" s="42">
        <v>41487</v>
      </c>
      <c r="E13" s="42" t="str">
        <f t="shared" si="0"/>
        <v>3 TRIM</v>
      </c>
      <c r="F13" s="1">
        <v>23734.94</v>
      </c>
      <c r="G13" s="53">
        <v>0.3</v>
      </c>
      <c r="H13" s="1">
        <f t="shared" si="1"/>
        <v>7120.4819999999991</v>
      </c>
      <c r="I13" s="1" t="s">
        <v>152</v>
      </c>
      <c r="J13" s="174" t="s">
        <v>335</v>
      </c>
    </row>
    <row r="14" spans="1:10" x14ac:dyDescent="0.2">
      <c r="B14" s="41" t="s">
        <v>239</v>
      </c>
      <c r="C14" s="2" t="s">
        <v>228</v>
      </c>
      <c r="D14" s="42">
        <v>41518</v>
      </c>
      <c r="E14" s="42" t="str">
        <f t="shared" si="0"/>
        <v>3 TRIM</v>
      </c>
      <c r="F14" s="1">
        <v>23734.94</v>
      </c>
      <c r="G14" s="53">
        <v>0.3</v>
      </c>
      <c r="H14" s="1">
        <f t="shared" si="1"/>
        <v>7120.4819999999991</v>
      </c>
      <c r="I14" s="1" t="s">
        <v>152</v>
      </c>
      <c r="J14" s="174" t="s">
        <v>335</v>
      </c>
    </row>
    <row r="15" spans="1:10" x14ac:dyDescent="0.2">
      <c r="B15" s="41" t="s">
        <v>239</v>
      </c>
      <c r="C15" s="135" t="s">
        <v>228</v>
      </c>
      <c r="D15" s="42">
        <v>41548</v>
      </c>
      <c r="E15" s="42" t="str">
        <f>IF(MONTH(D15)&lt;=3,"1 TRIM",IF(MONTH(D15)&lt;=6,"2 TRIM",IF(MONTH(D15)&lt;=9,"3 TRIM","4 TRIM")))</f>
        <v>4 TRIM</v>
      </c>
      <c r="F15" s="1">
        <v>23734.94</v>
      </c>
      <c r="G15" s="53">
        <v>0.3</v>
      </c>
      <c r="H15" s="1">
        <f t="shared" si="1"/>
        <v>7120.4819999999991</v>
      </c>
      <c r="I15" s="1" t="s">
        <v>152</v>
      </c>
      <c r="J15" s="174" t="s">
        <v>335</v>
      </c>
    </row>
    <row r="16" spans="1:10" x14ac:dyDescent="0.2">
      <c r="B16" s="41" t="s">
        <v>239</v>
      </c>
      <c r="C16" s="2" t="s">
        <v>228</v>
      </c>
      <c r="D16" s="42">
        <v>41579</v>
      </c>
      <c r="E16" s="42" t="str">
        <f t="shared" ref="E16:E24" si="2">IF(MONTH(D16)&lt;=3,"1 TRIM",IF(MONTH(D16)&lt;=6,"2 TRIM",IF(MONTH(D16)&lt;=9,"3 TRIM","4 TRIM")))</f>
        <v>4 TRIM</v>
      </c>
      <c r="F16" s="1">
        <f>F15/2</f>
        <v>11867.47</v>
      </c>
      <c r="G16" s="53">
        <v>0.3</v>
      </c>
      <c r="H16" s="1">
        <f t="shared" si="1"/>
        <v>3560.2409999999995</v>
      </c>
      <c r="I16" s="1" t="s">
        <v>152</v>
      </c>
      <c r="J16" s="174" t="s">
        <v>335</v>
      </c>
    </row>
    <row r="17" spans="1:11" x14ac:dyDescent="0.2">
      <c r="B17" s="43" t="s">
        <v>239</v>
      </c>
      <c r="C17" s="6" t="s">
        <v>228</v>
      </c>
      <c r="D17" s="44">
        <v>41609</v>
      </c>
      <c r="E17" s="42" t="str">
        <f t="shared" si="2"/>
        <v>4 TRIM</v>
      </c>
      <c r="F17" s="36">
        <f>F16</f>
        <v>11867.47</v>
      </c>
      <c r="G17" s="53">
        <v>0.3</v>
      </c>
      <c r="H17" s="1">
        <f t="shared" si="1"/>
        <v>3560.2409999999995</v>
      </c>
      <c r="I17" s="1" t="s">
        <v>152</v>
      </c>
      <c r="J17" s="174" t="s">
        <v>335</v>
      </c>
    </row>
    <row r="18" spans="1:11" x14ac:dyDescent="0.2">
      <c r="B18" s="43" t="s">
        <v>239</v>
      </c>
      <c r="C18" s="6" t="s">
        <v>228</v>
      </c>
      <c r="D18" s="44">
        <v>41609</v>
      </c>
      <c r="E18" s="42" t="str">
        <f t="shared" si="2"/>
        <v>4 TRIM</v>
      </c>
      <c r="F18" s="36">
        <v>23734.94</v>
      </c>
      <c r="G18" s="53">
        <v>0.3</v>
      </c>
      <c r="H18" s="36">
        <f t="shared" si="1"/>
        <v>7120.4819999999991</v>
      </c>
      <c r="I18" s="1" t="s">
        <v>152</v>
      </c>
      <c r="J18" s="174" t="s">
        <v>335</v>
      </c>
    </row>
    <row r="19" spans="1:11" x14ac:dyDescent="0.2">
      <c r="B19" s="50" t="s">
        <v>206</v>
      </c>
      <c r="C19" s="31" t="s">
        <v>227</v>
      </c>
      <c r="D19" s="44">
        <v>41574</v>
      </c>
      <c r="E19" s="42" t="str">
        <f t="shared" si="2"/>
        <v>4 TRIM</v>
      </c>
      <c r="F19" s="36">
        <v>0</v>
      </c>
      <c r="G19" s="61">
        <v>0</v>
      </c>
      <c r="H19" s="52">
        <f t="shared" si="1"/>
        <v>0</v>
      </c>
      <c r="I19" s="5" t="s">
        <v>70</v>
      </c>
      <c r="J19" s="5"/>
    </row>
    <row r="20" spans="1:11" x14ac:dyDescent="0.2">
      <c r="B20" s="17" t="s">
        <v>206</v>
      </c>
      <c r="C20" s="20" t="s">
        <v>227</v>
      </c>
      <c r="D20" s="44">
        <v>41624</v>
      </c>
      <c r="E20" s="42" t="str">
        <f t="shared" si="2"/>
        <v>4 TRIM</v>
      </c>
      <c r="F20" s="36">
        <v>0</v>
      </c>
      <c r="G20" s="61">
        <v>0</v>
      </c>
      <c r="H20" s="52">
        <f t="shared" si="1"/>
        <v>0</v>
      </c>
      <c r="I20" s="5" t="s">
        <v>70</v>
      </c>
      <c r="J20" s="7"/>
    </row>
    <row r="21" spans="1:11" x14ac:dyDescent="0.2">
      <c r="B21" s="17" t="s">
        <v>240</v>
      </c>
      <c r="C21" s="2" t="s">
        <v>241</v>
      </c>
      <c r="D21" s="44">
        <v>41554</v>
      </c>
      <c r="E21" s="42" t="str">
        <f t="shared" si="2"/>
        <v>4 TRIM</v>
      </c>
      <c r="F21" s="59">
        <v>4200</v>
      </c>
      <c r="G21" s="61">
        <v>0</v>
      </c>
      <c r="H21" s="52">
        <f t="shared" si="1"/>
        <v>0</v>
      </c>
      <c r="I21" s="52" t="s">
        <v>7</v>
      </c>
      <c r="J21" s="52"/>
    </row>
    <row r="22" spans="1:11" x14ac:dyDescent="0.2">
      <c r="B22" s="17" t="s">
        <v>240</v>
      </c>
      <c r="C22" s="2" t="s">
        <v>241</v>
      </c>
      <c r="D22" s="44">
        <v>41577</v>
      </c>
      <c r="E22" s="42" t="str">
        <f t="shared" si="2"/>
        <v>4 TRIM</v>
      </c>
      <c r="F22" s="59">
        <v>8400</v>
      </c>
      <c r="G22" s="61">
        <v>0</v>
      </c>
      <c r="H22" s="52">
        <f t="shared" si="1"/>
        <v>0</v>
      </c>
      <c r="I22" s="52" t="s">
        <v>7</v>
      </c>
      <c r="J22" s="184"/>
    </row>
    <row r="23" spans="1:11" x14ac:dyDescent="0.2">
      <c r="B23" s="17" t="s">
        <v>240</v>
      </c>
      <c r="C23" s="2" t="s">
        <v>241</v>
      </c>
      <c r="D23" s="44">
        <v>41606</v>
      </c>
      <c r="E23" s="42" t="str">
        <f t="shared" si="2"/>
        <v>4 TRIM</v>
      </c>
      <c r="F23" s="59">
        <v>8400</v>
      </c>
      <c r="G23" s="70">
        <f>3/('Dias Úteis'!G17*8.48)</f>
        <v>1.7688679245283015E-2</v>
      </c>
      <c r="H23" s="52">
        <f t="shared" si="1"/>
        <v>148.58490566037733</v>
      </c>
      <c r="I23" s="52" t="s">
        <v>7</v>
      </c>
      <c r="J23" s="184" t="s">
        <v>346</v>
      </c>
    </row>
    <row r="24" spans="1:11" x14ac:dyDescent="0.2">
      <c r="B24" s="51" t="s">
        <v>240</v>
      </c>
      <c r="C24" s="143" t="s">
        <v>241</v>
      </c>
      <c r="D24" s="16">
        <v>41626</v>
      </c>
      <c r="E24" s="16" t="str">
        <f t="shared" si="2"/>
        <v>4 TRIM</v>
      </c>
      <c r="F24" s="62">
        <v>11200</v>
      </c>
      <c r="G24" s="71">
        <f>9.75/('Dias Úteis'!G18*8.48)</f>
        <v>5.4750673854447436E-2</v>
      </c>
      <c r="H24" s="63">
        <f t="shared" si="1"/>
        <v>613.20754716981128</v>
      </c>
      <c r="I24" s="63" t="s">
        <v>7</v>
      </c>
      <c r="J24" s="184" t="s">
        <v>18</v>
      </c>
    </row>
    <row r="25" spans="1:11" x14ac:dyDescent="0.2">
      <c r="B25" s="54" t="s">
        <v>14</v>
      </c>
      <c r="C25" s="54"/>
      <c r="D25" s="144"/>
      <c r="E25" s="144"/>
      <c r="F25" s="144"/>
      <c r="G25" s="135"/>
      <c r="H25" s="145">
        <f>SUM(H6:H24)</f>
        <v>86207.576452830152</v>
      </c>
    </row>
    <row r="26" spans="1:11" x14ac:dyDescent="0.2">
      <c r="D26" s="60"/>
      <c r="E26" s="60"/>
      <c r="F26" s="60"/>
      <c r="H26" s="5"/>
    </row>
    <row r="29" spans="1:11" x14ac:dyDescent="0.2">
      <c r="B29" s="115" t="s">
        <v>298</v>
      </c>
      <c r="C29" s="112"/>
      <c r="D29" s="112"/>
      <c r="E29" s="112"/>
      <c r="F29" s="112"/>
      <c r="G29" s="116"/>
      <c r="H29" s="112"/>
      <c r="I29" s="58"/>
      <c r="J29" s="112"/>
      <c r="K29" s="112"/>
    </row>
    <row r="30" spans="1:11" s="19" customFormat="1" ht="21.75" customHeight="1" x14ac:dyDescent="0.25">
      <c r="A30" s="39" t="s">
        <v>184</v>
      </c>
      <c r="B30" s="39" t="s">
        <v>1</v>
      </c>
      <c r="C30" s="39" t="s">
        <v>17</v>
      </c>
      <c r="D30" s="39" t="s">
        <v>8</v>
      </c>
      <c r="E30" s="39" t="s">
        <v>10</v>
      </c>
      <c r="F30" s="39" t="s">
        <v>6</v>
      </c>
      <c r="G30" s="39" t="s">
        <v>225</v>
      </c>
      <c r="H30" s="39" t="s">
        <v>325</v>
      </c>
      <c r="J30" s="39" t="s">
        <v>2</v>
      </c>
      <c r="K30" s="39" t="s">
        <v>4</v>
      </c>
    </row>
    <row r="31" spans="1:11" s="29" customFormat="1" x14ac:dyDescent="0.25">
      <c r="A31" s="31" t="s">
        <v>214</v>
      </c>
      <c r="B31" s="169" t="s">
        <v>336</v>
      </c>
      <c r="C31" s="29" t="s">
        <v>240</v>
      </c>
      <c r="D31" s="30" t="s">
        <v>9</v>
      </c>
      <c r="E31" s="183" t="s">
        <v>109</v>
      </c>
      <c r="F31" s="139">
        <v>41620</v>
      </c>
      <c r="G31" s="29" t="s">
        <v>224</v>
      </c>
      <c r="H31" s="31">
        <v>1.5</v>
      </c>
      <c r="J31" s="29" t="s">
        <v>3</v>
      </c>
      <c r="K31" s="29" t="s">
        <v>5</v>
      </c>
    </row>
    <row r="32" spans="1:11" s="29" customFormat="1" ht="38.25" x14ac:dyDescent="0.25">
      <c r="A32" s="31" t="s">
        <v>215</v>
      </c>
      <c r="B32" s="169" t="s">
        <v>336</v>
      </c>
      <c r="C32" s="29" t="s">
        <v>240</v>
      </c>
      <c r="D32" s="30" t="s">
        <v>146</v>
      </c>
      <c r="E32" s="183" t="s">
        <v>109</v>
      </c>
      <c r="F32" s="139">
        <v>41620</v>
      </c>
      <c r="G32" s="29" t="s">
        <v>224</v>
      </c>
      <c r="H32" s="31">
        <v>1.5</v>
      </c>
      <c r="J32" s="29" t="s">
        <v>3</v>
      </c>
      <c r="K32" s="29" t="s">
        <v>16</v>
      </c>
    </row>
    <row r="33" spans="1:11" s="29" customFormat="1" x14ac:dyDescent="0.25">
      <c r="A33" s="31">
        <v>83</v>
      </c>
      <c r="B33" s="185" t="s">
        <v>335</v>
      </c>
      <c r="C33" s="140" t="s">
        <v>240</v>
      </c>
      <c r="D33" s="141" t="s">
        <v>110</v>
      </c>
      <c r="E33" s="183" t="s">
        <v>109</v>
      </c>
      <c r="F33" s="142">
        <v>41584</v>
      </c>
      <c r="G33" s="140" t="s">
        <v>224</v>
      </c>
      <c r="H33" s="18">
        <v>9.75</v>
      </c>
      <c r="J33" s="140" t="s">
        <v>299</v>
      </c>
      <c r="K33" s="140" t="s">
        <v>299</v>
      </c>
    </row>
    <row r="37" spans="1:11" ht="25.5" x14ac:dyDescent="0.2">
      <c r="B37" s="39" t="s">
        <v>1</v>
      </c>
      <c r="C37" s="195" t="s">
        <v>345</v>
      </c>
      <c r="D37" s="39" t="s">
        <v>239</v>
      </c>
      <c r="E37" s="39" t="s">
        <v>240</v>
      </c>
      <c r="F37" s="39" t="s">
        <v>94</v>
      </c>
    </row>
    <row r="38" spans="1:11" x14ac:dyDescent="0.2">
      <c r="B38" s="29" t="s">
        <v>18</v>
      </c>
      <c r="C38" s="196">
        <v>0.2</v>
      </c>
      <c r="D38" s="5">
        <f>SUMIFS($H$6:$H$24,$B$6:$B$24,$D$37)*C38</f>
        <v>17089.156799999993</v>
      </c>
      <c r="E38" s="5">
        <f>H24</f>
        <v>613.20754716981128</v>
      </c>
      <c r="F38" s="5">
        <f>SUM(D38:E38)</f>
        <v>17702.364347169805</v>
      </c>
    </row>
    <row r="39" spans="1:11" x14ac:dyDescent="0.2">
      <c r="B39" s="17" t="s">
        <v>64</v>
      </c>
      <c r="C39" s="196">
        <v>0.1</v>
      </c>
      <c r="D39" s="5">
        <f t="shared" ref="D39:D41" si="3">SUMIFS($H$6:$H$24,$B$6:$B$24,$D$37)*C39</f>
        <v>8544.5783999999967</v>
      </c>
      <c r="E39" s="5">
        <v>0</v>
      </c>
      <c r="F39" s="5">
        <f t="shared" ref="F39:F41" si="4">SUM(D39:E39)</f>
        <v>8544.5783999999967</v>
      </c>
    </row>
    <row r="40" spans="1:11" x14ac:dyDescent="0.2">
      <c r="B40" s="17" t="s">
        <v>71</v>
      </c>
      <c r="C40" s="196">
        <v>0.4</v>
      </c>
      <c r="D40" s="5">
        <f t="shared" si="3"/>
        <v>34178.313599999987</v>
      </c>
      <c r="E40" s="5">
        <f>H23</f>
        <v>148.58490566037733</v>
      </c>
      <c r="F40" s="5">
        <f t="shared" si="4"/>
        <v>34326.898505660363</v>
      </c>
    </row>
    <row r="41" spans="1:11" x14ac:dyDescent="0.2">
      <c r="B41" s="51" t="s">
        <v>51</v>
      </c>
      <c r="C41" s="197">
        <v>0.3</v>
      </c>
      <c r="D41" s="63">
        <f t="shared" si="3"/>
        <v>25633.735199999992</v>
      </c>
      <c r="E41" s="63">
        <v>0</v>
      </c>
      <c r="F41" s="63">
        <f t="shared" si="4"/>
        <v>25633.735199999992</v>
      </c>
    </row>
    <row r="42" spans="1:11" x14ac:dyDescent="0.2">
      <c r="C42" s="196">
        <f>SUM(C38:C41)</f>
        <v>1</v>
      </c>
      <c r="D42" s="5">
        <f>SUM(D38:D41)</f>
        <v>85445.783999999971</v>
      </c>
      <c r="E42" s="5">
        <f>SUM(E38:E41)</f>
        <v>761.79245283018861</v>
      </c>
      <c r="F42" s="5">
        <f>SUM(F38:F41)</f>
        <v>86207.576452830152</v>
      </c>
    </row>
    <row r="44" spans="1:11" x14ac:dyDescent="0.2">
      <c r="H44" s="236"/>
    </row>
    <row r="45" spans="1:11" x14ac:dyDescent="0.2">
      <c r="H45" s="236"/>
    </row>
    <row r="53" spans="1:2" x14ac:dyDescent="0.2">
      <c r="A53" s="37" t="s">
        <v>233</v>
      </c>
      <c r="B53" s="17" t="s">
        <v>234</v>
      </c>
    </row>
    <row r="54" spans="1:2" x14ac:dyDescent="0.2">
      <c r="A54" s="37" t="s">
        <v>235</v>
      </c>
      <c r="B54" s="17" t="s">
        <v>267</v>
      </c>
    </row>
    <row r="55" spans="1:2" x14ac:dyDescent="0.2">
      <c r="A55" s="37" t="s">
        <v>268</v>
      </c>
      <c r="B55" s="17" t="s">
        <v>328</v>
      </c>
    </row>
  </sheetData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&amp;C&amp;8____________________
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3"/>
  <sheetViews>
    <sheetView workbookViewId="0">
      <selection activeCell="C11" sqref="C11"/>
    </sheetView>
  </sheetViews>
  <sheetFormatPr defaultRowHeight="12.75" x14ac:dyDescent="0.2"/>
  <cols>
    <col min="1" max="1" width="9" style="170"/>
    <col min="2" max="2" width="32.875" style="170" bestFit="1" customWidth="1"/>
    <col min="3" max="3" width="91.25" style="170" customWidth="1"/>
    <col min="4" max="4" width="9" style="170"/>
    <col min="5" max="5" width="13.125" style="170" bestFit="1" customWidth="1"/>
    <col min="6" max="16384" width="9" style="170"/>
  </cols>
  <sheetData>
    <row r="2" spans="2:5" x14ac:dyDescent="0.2">
      <c r="B2" s="181" t="s">
        <v>109</v>
      </c>
      <c r="C2" s="181" t="s">
        <v>334</v>
      </c>
      <c r="D2" s="55" t="s">
        <v>94</v>
      </c>
    </row>
    <row r="3" spans="2:5" ht="38.25" x14ac:dyDescent="0.2">
      <c r="B3" s="198" t="s">
        <v>76</v>
      </c>
      <c r="C3" s="199" t="s">
        <v>348</v>
      </c>
      <c r="D3" s="201">
        <f>SUMIFS(Investimentos!$P$6:$P$100,Investimentos!$F$6:$F$100,'Terceiros-Resumo'!B3,Investimentos!$I$6:$I$100,"Terceiros")</f>
        <v>16326.52</v>
      </c>
    </row>
    <row r="4" spans="2:5" ht="25.5" x14ac:dyDescent="0.2">
      <c r="B4" s="198" t="s">
        <v>201</v>
      </c>
      <c r="C4" s="217" t="s">
        <v>354</v>
      </c>
      <c r="D4" s="201">
        <f>SUMIFS(Investimentos!$P$6:$P$100,Investimentos!$F$6:$F$100,'Terceiros-Resumo'!B4,Investimentos!$I$6:$I$100,"Terceiros")</f>
        <v>4681</v>
      </c>
    </row>
    <row r="5" spans="2:5" x14ac:dyDescent="0.2">
      <c r="B5" s="198" t="s">
        <v>203</v>
      </c>
      <c r="C5" s="217" t="s">
        <v>349</v>
      </c>
      <c r="D5" s="201">
        <f>SUMIFS(Investimentos!$P$6:$P$100,Investimentos!$F$6:$F$100,'Terceiros-Resumo'!B5,Investimentos!$I$6:$I$100,"Terceiros")</f>
        <v>444.25</v>
      </c>
    </row>
    <row r="6" spans="2:5" ht="25.5" x14ac:dyDescent="0.2">
      <c r="B6" s="41" t="s">
        <v>239</v>
      </c>
      <c r="C6" s="217" t="s">
        <v>355</v>
      </c>
      <c r="D6" s="201">
        <f>SUMIFS(Terceiros!$H$6:$H$24,Terceiros!$B$6:$B$24,'Terceiros-Resumo'!B6)</f>
        <v>85445.783999999971</v>
      </c>
    </row>
    <row r="7" spans="2:5" ht="25.5" x14ac:dyDescent="0.2">
      <c r="B7" s="51" t="s">
        <v>240</v>
      </c>
      <c r="C7" s="200" t="s">
        <v>350</v>
      </c>
      <c r="D7" s="202">
        <f>SUMIFS(Terceiros!$H$6:$H$24,Terceiros!$B$6:$B$24,'Terceiros-Resumo'!B7)</f>
        <v>761.79245283018861</v>
      </c>
    </row>
    <row r="8" spans="2:5" x14ac:dyDescent="0.2">
      <c r="C8" s="173"/>
      <c r="D8" s="175">
        <f>SUM(D3:D7)</f>
        <v>107659.34645283017</v>
      </c>
    </row>
    <row r="10" spans="2:5" ht="15" x14ac:dyDescent="0.25">
      <c r="C10" s="239"/>
    </row>
    <row r="12" spans="2:5" x14ac:dyDescent="0.2">
      <c r="B12" s="180" t="s">
        <v>332</v>
      </c>
      <c r="C12" s="180" t="s">
        <v>109</v>
      </c>
      <c r="D12" s="180" t="s">
        <v>351</v>
      </c>
    </row>
    <row r="13" spans="2:5" x14ac:dyDescent="0.2">
      <c r="B13" s="171" t="s">
        <v>18</v>
      </c>
      <c r="C13" s="170" t="s">
        <v>76</v>
      </c>
      <c r="D13" s="209">
        <f>SUMIFS(Investimentos!$P$6:$P$100,Investimentos!$C$6:$C$100,'Terceiros-Resumo'!B13,Investimentos!$I$6:$I$100,"Terceiros",Investimentos!$F$6:$F$100,'Terceiros-Resumo'!C13)</f>
        <v>8163.26</v>
      </c>
      <c r="E13" s="213" t="s">
        <v>358</v>
      </c>
    </row>
    <row r="14" spans="2:5" x14ac:dyDescent="0.2">
      <c r="B14" s="172" t="s">
        <v>64</v>
      </c>
      <c r="C14" s="170" t="s">
        <v>76</v>
      </c>
      <c r="D14" s="209">
        <f>SUMIFS(Investimentos!$P$6:$P$100,Investimentos!$C$6:$C$100,'Terceiros-Resumo'!B14,Investimentos!$I$6:$I$100,"Terceiros",Investimentos!$F$6:$F$100,'Terceiros-Resumo'!C14)</f>
        <v>0</v>
      </c>
    </row>
    <row r="15" spans="2:5" x14ac:dyDescent="0.2">
      <c r="B15" s="171" t="s">
        <v>52</v>
      </c>
      <c r="C15" s="170" t="s">
        <v>76</v>
      </c>
      <c r="D15" s="209">
        <f>SUMIFS(Investimentos!$P$6:$P$100,Investimentos!$C$6:$C$100,'Terceiros-Resumo'!B15,Investimentos!$I$6:$I$100,"Terceiros",Investimentos!$F$6:$F$100,'Terceiros-Resumo'!C15)</f>
        <v>0</v>
      </c>
    </row>
    <row r="16" spans="2:5" x14ac:dyDescent="0.2">
      <c r="B16" s="171" t="s">
        <v>71</v>
      </c>
      <c r="C16" s="170" t="s">
        <v>76</v>
      </c>
      <c r="D16" s="209">
        <f>SUMIFS(Investimentos!$P$6:$P$100,Investimentos!$C$6:$C$100,'Terceiros-Resumo'!B16,Investimentos!$I$6:$I$100,"Terceiros",Investimentos!$F$6:$F$100,'Terceiros-Resumo'!C16)</f>
        <v>8163.26</v>
      </c>
    </row>
    <row r="17" spans="2:5" x14ac:dyDescent="0.2">
      <c r="B17" s="171" t="s">
        <v>112</v>
      </c>
      <c r="C17" s="170" t="s">
        <v>76</v>
      </c>
      <c r="D17" s="209">
        <f>SUMIFS(Investimentos!$P$6:$P$100,Investimentos!$C$6:$C$100,'Terceiros-Resumo'!B17,Investimentos!$I$6:$I$100,"Terceiros",Investimentos!$F$6:$F$100,'Terceiros-Resumo'!C17)</f>
        <v>0</v>
      </c>
    </row>
    <row r="18" spans="2:5" x14ac:dyDescent="0.2">
      <c r="B18" s="178" t="s">
        <v>51</v>
      </c>
      <c r="C18" s="180" t="s">
        <v>76</v>
      </c>
      <c r="D18" s="210">
        <f>SUMIFS(Investimentos!$P$6:$P$100,Investimentos!$C$6:$C$100,'Terceiros-Resumo'!B18,Investimentos!$I$6:$I$100,"Terceiros",Investimentos!$F$6:$F$100,'Terceiros-Resumo'!C18)</f>
        <v>0</v>
      </c>
    </row>
    <row r="19" spans="2:5" x14ac:dyDescent="0.2">
      <c r="B19" s="171" t="s">
        <v>18</v>
      </c>
      <c r="C19" s="170" t="s">
        <v>201</v>
      </c>
      <c r="D19" s="209">
        <f>SUMIFS(Investimentos!$P$6:$P$100,Investimentos!$C$6:$C$100,'Terceiros-Resumo'!B19,Investimentos!$I$6:$I$100,"Terceiros",Investimentos!$F$6:$F$100,'Terceiros-Resumo'!C19)</f>
        <v>497</v>
      </c>
      <c r="E19" s="214" t="s">
        <v>359</v>
      </c>
    </row>
    <row r="20" spans="2:5" x14ac:dyDescent="0.2">
      <c r="B20" s="172" t="s">
        <v>64</v>
      </c>
      <c r="C20" s="170" t="s">
        <v>201</v>
      </c>
      <c r="D20" s="209">
        <f>SUMIFS(Investimentos!$P$6:$P$100,Investimentos!$C$6:$C$100,'Terceiros-Resumo'!B20,Investimentos!$I$6:$I$100,"Terceiros",Investimentos!$F$6:$F$100,'Terceiros-Resumo'!C20)</f>
        <v>540</v>
      </c>
    </row>
    <row r="21" spans="2:5" x14ac:dyDescent="0.2">
      <c r="B21" s="171" t="s">
        <v>52</v>
      </c>
      <c r="C21" s="170" t="s">
        <v>201</v>
      </c>
      <c r="D21" s="209">
        <f>SUMIFS(Investimentos!$P$6:$P$100,Investimentos!$C$6:$C$100,'Terceiros-Resumo'!B21,Investimentos!$I$6:$I$100,"Terceiros",Investimentos!$F$6:$F$100,'Terceiros-Resumo'!C21)</f>
        <v>0</v>
      </c>
    </row>
    <row r="22" spans="2:5" x14ac:dyDescent="0.2">
      <c r="B22" s="171" t="s">
        <v>71</v>
      </c>
      <c r="C22" s="170" t="s">
        <v>201</v>
      </c>
      <c r="D22" s="209">
        <f>SUMIFS(Investimentos!$P$6:$P$100,Investimentos!$C$6:$C$100,'Terceiros-Resumo'!B22,Investimentos!$I$6:$I$100,"Terceiros",Investimentos!$F$6:$F$100,'Terceiros-Resumo'!C22)</f>
        <v>902.83333333333326</v>
      </c>
    </row>
    <row r="23" spans="2:5" x14ac:dyDescent="0.2">
      <c r="B23" s="171" t="s">
        <v>112</v>
      </c>
      <c r="C23" s="170" t="s">
        <v>201</v>
      </c>
      <c r="D23" s="209">
        <f>SUMIFS(Investimentos!$P$6:$P$100,Investimentos!$C$6:$C$100,'Terceiros-Resumo'!B23,Investimentos!$I$6:$I$100,"Terceiros",Investimentos!$F$6:$F$100,'Terceiros-Resumo'!C23)</f>
        <v>0</v>
      </c>
    </row>
    <row r="24" spans="2:5" x14ac:dyDescent="0.2">
      <c r="B24" s="178" t="s">
        <v>51</v>
      </c>
      <c r="C24" s="180" t="s">
        <v>201</v>
      </c>
      <c r="D24" s="210">
        <f>SUMIFS(Investimentos!$P$6:$P$100,Investimentos!$C$6:$C$100,'Terceiros-Resumo'!B24,Investimentos!$I$6:$I$100,"Terceiros",Investimentos!$F$6:$F$100,'Terceiros-Resumo'!C24)</f>
        <v>2741.1666666666665</v>
      </c>
    </row>
    <row r="25" spans="2:5" x14ac:dyDescent="0.2">
      <c r="B25" s="171" t="s">
        <v>18</v>
      </c>
      <c r="C25" s="170" t="s">
        <v>203</v>
      </c>
      <c r="D25" s="209">
        <f>SUMIFS(Investimentos!$P$6:$P$100,Investimentos!$C$6:$C$100,'Terceiros-Resumo'!B25,Investimentos!$I$6:$I$100,"Terceiros",Investimentos!$F$6:$F$100,'Terceiros-Resumo'!C25)</f>
        <v>0</v>
      </c>
      <c r="E25" s="213" t="s">
        <v>360</v>
      </c>
    </row>
    <row r="26" spans="2:5" x14ac:dyDescent="0.2">
      <c r="B26" s="172" t="s">
        <v>64</v>
      </c>
      <c r="C26" s="170" t="s">
        <v>203</v>
      </c>
      <c r="D26" s="209">
        <f>SUMIFS(Investimentos!$P$6:$P$100,Investimentos!$C$6:$C$100,'Terceiros-Resumo'!B26,Investimentos!$I$6:$I$100,"Terceiros",Investimentos!$F$6:$F$100,'Terceiros-Resumo'!C26)</f>
        <v>0</v>
      </c>
    </row>
    <row r="27" spans="2:5" x14ac:dyDescent="0.2">
      <c r="B27" s="171" t="s">
        <v>52</v>
      </c>
      <c r="C27" s="170" t="s">
        <v>203</v>
      </c>
      <c r="D27" s="209">
        <f>SUMIFS(Investimentos!$P$6:$P$100,Investimentos!$C$6:$C$100,'Terceiros-Resumo'!B27,Investimentos!$I$6:$I$100,"Terceiros",Investimentos!$F$6:$F$100,'Terceiros-Resumo'!C27)</f>
        <v>0</v>
      </c>
    </row>
    <row r="28" spans="2:5" x14ac:dyDescent="0.2">
      <c r="B28" s="171" t="s">
        <v>71</v>
      </c>
      <c r="C28" s="170" t="s">
        <v>203</v>
      </c>
      <c r="D28" s="209">
        <f>SUMIFS(Investimentos!$P$6:$P$100,Investimentos!$C$6:$C$100,'Terceiros-Resumo'!B28,Investimentos!$I$6:$I$100,"Terceiros",Investimentos!$F$6:$F$100,'Terceiros-Resumo'!C28)</f>
        <v>0</v>
      </c>
    </row>
    <row r="29" spans="2:5" x14ac:dyDescent="0.2">
      <c r="B29" s="171" t="s">
        <v>112</v>
      </c>
      <c r="C29" s="170" t="s">
        <v>203</v>
      </c>
      <c r="D29" s="209">
        <f>SUMIFS(Investimentos!$P$6:$P$100,Investimentos!$C$6:$C$100,'Terceiros-Resumo'!B29,Investimentos!$I$6:$I$100,"Terceiros",Investimentos!$F$6:$F$100,'Terceiros-Resumo'!C29)</f>
        <v>0</v>
      </c>
    </row>
    <row r="30" spans="2:5" x14ac:dyDescent="0.2">
      <c r="B30" s="178" t="s">
        <v>51</v>
      </c>
      <c r="C30" s="180" t="s">
        <v>203</v>
      </c>
      <c r="D30" s="210">
        <f>SUMIFS(Investimentos!$P$6:$P$100,Investimentos!$C$6:$C$100,'Terceiros-Resumo'!B30,Investimentos!$I$6:$I$100,"Terceiros",Investimentos!$F$6:$F$100,'Terceiros-Resumo'!C30)</f>
        <v>444.25</v>
      </c>
    </row>
    <row r="31" spans="2:5" x14ac:dyDescent="0.2">
      <c r="B31" s="171" t="s">
        <v>18</v>
      </c>
      <c r="C31" s="170" t="s">
        <v>239</v>
      </c>
      <c r="D31" s="209">
        <f>Terceiros!D38</f>
        <v>17089.156799999993</v>
      </c>
      <c r="E31" s="216"/>
    </row>
    <row r="32" spans="2:5" x14ac:dyDescent="0.2">
      <c r="B32" s="172" t="s">
        <v>64</v>
      </c>
      <c r="C32" s="170" t="s">
        <v>239</v>
      </c>
      <c r="D32" s="209">
        <f>Terceiros!D39</f>
        <v>8544.5783999999967</v>
      </c>
    </row>
    <row r="33" spans="2:4" x14ac:dyDescent="0.2">
      <c r="B33" s="171" t="s">
        <v>52</v>
      </c>
      <c r="C33" s="170" t="s">
        <v>239</v>
      </c>
      <c r="D33" s="209" t="e">
        <f>Terceiros!#REF!</f>
        <v>#REF!</v>
      </c>
    </row>
    <row r="34" spans="2:4" x14ac:dyDescent="0.2">
      <c r="B34" s="171" t="s">
        <v>71</v>
      </c>
      <c r="C34" s="170" t="s">
        <v>239</v>
      </c>
      <c r="D34" s="209">
        <f>Terceiros!D40</f>
        <v>34178.313599999987</v>
      </c>
    </row>
    <row r="35" spans="2:4" x14ac:dyDescent="0.2">
      <c r="B35" s="171" t="s">
        <v>112</v>
      </c>
      <c r="C35" s="170" t="s">
        <v>239</v>
      </c>
      <c r="D35" s="209" t="e">
        <f>Terceiros!#REF!</f>
        <v>#REF!</v>
      </c>
    </row>
    <row r="36" spans="2:4" x14ac:dyDescent="0.2">
      <c r="B36" s="178" t="s">
        <v>51</v>
      </c>
      <c r="C36" s="180" t="s">
        <v>239</v>
      </c>
      <c r="D36" s="210">
        <f>Terceiros!D41</f>
        <v>25633.735199999992</v>
      </c>
    </row>
    <row r="37" spans="2:4" x14ac:dyDescent="0.2">
      <c r="B37" s="171" t="s">
        <v>18</v>
      </c>
      <c r="C37" s="170" t="s">
        <v>240</v>
      </c>
      <c r="D37" s="209">
        <f>Terceiros!E38</f>
        <v>613.20754716981128</v>
      </c>
    </row>
    <row r="38" spans="2:4" x14ac:dyDescent="0.2">
      <c r="B38" s="172" t="s">
        <v>64</v>
      </c>
      <c r="C38" s="170" t="s">
        <v>240</v>
      </c>
      <c r="D38" s="209">
        <f>Terceiros!E39</f>
        <v>0</v>
      </c>
    </row>
    <row r="39" spans="2:4" x14ac:dyDescent="0.2">
      <c r="B39" s="171" t="s">
        <v>52</v>
      </c>
      <c r="C39" s="170" t="s">
        <v>240</v>
      </c>
      <c r="D39" s="209" t="e">
        <f>Terceiros!#REF!</f>
        <v>#REF!</v>
      </c>
    </row>
    <row r="40" spans="2:4" x14ac:dyDescent="0.2">
      <c r="B40" s="171" t="s">
        <v>71</v>
      </c>
      <c r="C40" s="170" t="s">
        <v>240</v>
      </c>
      <c r="D40" s="209">
        <f>Terceiros!E40</f>
        <v>148.58490566037733</v>
      </c>
    </row>
    <row r="41" spans="2:4" x14ac:dyDescent="0.2">
      <c r="B41" s="171" t="s">
        <v>112</v>
      </c>
      <c r="C41" s="170" t="s">
        <v>240</v>
      </c>
      <c r="D41" s="209" t="e">
        <f>Terceiros!#REF!</f>
        <v>#REF!</v>
      </c>
    </row>
    <row r="42" spans="2:4" x14ac:dyDescent="0.2">
      <c r="B42" s="178" t="s">
        <v>51</v>
      </c>
      <c r="C42" s="180" t="s">
        <v>240</v>
      </c>
      <c r="D42" s="210">
        <f>Terceiros!E41</f>
        <v>0</v>
      </c>
    </row>
    <row r="43" spans="2:4" x14ac:dyDescent="0.2">
      <c r="D43" s="209" t="e">
        <f>SUM(D13:D42)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3"/>
  <sheetViews>
    <sheetView topLeftCell="A25" zoomScaleNormal="100" workbookViewId="0">
      <selection activeCell="L18" sqref="L18"/>
    </sheetView>
  </sheetViews>
  <sheetFormatPr defaultRowHeight="12.75" x14ac:dyDescent="0.2"/>
  <cols>
    <col min="1" max="1" width="4.125" style="17" customWidth="1"/>
    <col min="2" max="2" width="16.125" style="17" customWidth="1"/>
    <col min="3" max="3" width="13.125" style="17" customWidth="1"/>
    <col min="4" max="4" width="10.25" style="17" bestFit="1" customWidth="1"/>
    <col min="5" max="16" width="9" style="17"/>
    <col min="17" max="17" width="9" style="17" customWidth="1"/>
    <col min="18" max="16384" width="9" style="17"/>
  </cols>
  <sheetData>
    <row r="1" spans="1:19" customFormat="1" ht="18.75" x14ac:dyDescent="0.3">
      <c r="A1" s="17"/>
      <c r="B1" s="131" t="s">
        <v>96</v>
      </c>
      <c r="F1" s="17"/>
      <c r="G1" s="17"/>
      <c r="I1" s="40"/>
      <c r="J1" s="40"/>
      <c r="K1" s="40"/>
      <c r="L1" s="40"/>
      <c r="M1" s="40"/>
    </row>
    <row r="2" spans="1:19" customFormat="1" ht="15.75" x14ac:dyDescent="0.25">
      <c r="A2" s="17"/>
      <c r="B2" s="132" t="s">
        <v>97</v>
      </c>
      <c r="F2" s="17"/>
      <c r="G2" s="17"/>
      <c r="J2" s="17"/>
      <c r="K2" s="17"/>
    </row>
    <row r="3" spans="1:19" customFormat="1" ht="15.75" x14ac:dyDescent="0.25">
      <c r="A3" s="17"/>
      <c r="B3" s="132" t="s">
        <v>147</v>
      </c>
      <c r="F3" s="17"/>
      <c r="G3" s="17"/>
      <c r="J3" s="17"/>
      <c r="K3" s="17"/>
    </row>
    <row r="4" spans="1:19" customFormat="1" ht="15.75" x14ac:dyDescent="0.25">
      <c r="F4" s="17"/>
      <c r="G4" s="17"/>
      <c r="J4" s="17"/>
      <c r="K4" s="17"/>
    </row>
    <row r="5" spans="1:19" customFormat="1" ht="15.75" x14ac:dyDescent="0.25">
      <c r="B5" s="159" t="s">
        <v>108</v>
      </c>
      <c r="C5" s="17"/>
      <c r="D5" s="159"/>
      <c r="E5" s="133"/>
      <c r="F5" s="133"/>
      <c r="G5" s="134"/>
    </row>
    <row r="6" spans="1:19" customFormat="1" ht="15.75" x14ac:dyDescent="0.25">
      <c r="B6" s="56" t="s">
        <v>98</v>
      </c>
      <c r="C6" s="17"/>
      <c r="D6" s="56" t="s">
        <v>99</v>
      </c>
      <c r="E6" s="56" t="s">
        <v>100</v>
      </c>
      <c r="F6" s="56" t="s">
        <v>101</v>
      </c>
      <c r="G6" s="56" t="s">
        <v>94</v>
      </c>
    </row>
    <row r="7" spans="1:19" customFormat="1" ht="15.75" x14ac:dyDescent="0.25">
      <c r="B7" s="136">
        <v>0.23330000000000001</v>
      </c>
      <c r="C7" s="17"/>
      <c r="D7" s="136">
        <v>0.08</v>
      </c>
      <c r="E7" s="137">
        <f>((1/12)+(1/12/3))*(1+$D$7+$B$7)</f>
        <v>0.14592222222222223</v>
      </c>
      <c r="F7" s="137">
        <f>(1/12)*(1+$D$7+$B$7)</f>
        <v>0.10944166666666667</v>
      </c>
      <c r="G7" s="137">
        <f>SUM(B7:F7)</f>
        <v>0.56866388888888897</v>
      </c>
    </row>
    <row r="8" spans="1:19" customFormat="1" ht="15.75" x14ac:dyDescent="0.25"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</row>
    <row r="9" spans="1:19" x14ac:dyDescent="0.2">
      <c r="B9" s="122" t="s">
        <v>105</v>
      </c>
      <c r="C9" s="122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</row>
    <row r="10" spans="1:19" s="123" customFormat="1" ht="25.5" x14ac:dyDescent="0.25">
      <c r="B10" s="72" t="s">
        <v>316</v>
      </c>
      <c r="C10" s="78" t="s">
        <v>317</v>
      </c>
      <c r="D10" s="72" t="s">
        <v>142</v>
      </c>
      <c r="E10" s="77">
        <v>41275</v>
      </c>
      <c r="F10" s="77">
        <v>41306</v>
      </c>
      <c r="G10" s="77">
        <v>41334</v>
      </c>
      <c r="H10" s="77">
        <v>41365</v>
      </c>
      <c r="I10" s="77">
        <v>41395</v>
      </c>
      <c r="J10" s="77">
        <v>41426</v>
      </c>
      <c r="K10" s="77">
        <v>41456</v>
      </c>
      <c r="L10" s="77">
        <v>41487</v>
      </c>
      <c r="M10" s="77">
        <v>41518</v>
      </c>
      <c r="N10" s="77">
        <v>41548</v>
      </c>
      <c r="O10" s="77">
        <v>41579</v>
      </c>
      <c r="P10" s="77">
        <v>41609</v>
      </c>
      <c r="Q10" s="78" t="s">
        <v>145</v>
      </c>
    </row>
    <row r="11" spans="1:19" x14ac:dyDescent="0.2">
      <c r="A11" s="37" t="s">
        <v>233</v>
      </c>
      <c r="B11" s="17" t="s">
        <v>320</v>
      </c>
      <c r="C11" s="21" t="s">
        <v>29</v>
      </c>
      <c r="D11" s="21" t="s">
        <v>143</v>
      </c>
      <c r="E11" s="28">
        <v>3070.48</v>
      </c>
      <c r="F11" s="28">
        <v>3070.48</v>
      </c>
      <c r="G11" s="28">
        <f>F11</f>
        <v>3070.48</v>
      </c>
      <c r="H11" s="28">
        <f>G11</f>
        <v>3070.48</v>
      </c>
      <c r="I11" s="28">
        <f>H11</f>
        <v>3070.48</v>
      </c>
      <c r="J11" s="28">
        <f>I11</f>
        <v>3070.48</v>
      </c>
      <c r="K11" s="28">
        <v>3316.12</v>
      </c>
      <c r="L11" s="28">
        <v>3316.12</v>
      </c>
      <c r="M11" s="28">
        <v>3316.12</v>
      </c>
      <c r="N11" s="28">
        <v>3316.12</v>
      </c>
      <c r="O11" s="28">
        <v>3316.12</v>
      </c>
      <c r="P11" s="28">
        <v>3316.12</v>
      </c>
      <c r="Q11" s="28">
        <f>SUM(E11:P11)</f>
        <v>38319.599999999999</v>
      </c>
      <c r="S11" s="13"/>
    </row>
    <row r="12" spans="1:19" x14ac:dyDescent="0.2">
      <c r="B12" s="17" t="s">
        <v>315</v>
      </c>
      <c r="C12" s="21" t="s">
        <v>114</v>
      </c>
      <c r="D12" s="21" t="s">
        <v>144</v>
      </c>
      <c r="E12" s="50"/>
      <c r="F12" s="50"/>
      <c r="G12" s="50"/>
      <c r="H12" s="50"/>
      <c r="I12" s="50"/>
      <c r="J12" s="50"/>
      <c r="K12" s="28">
        <v>1317</v>
      </c>
      <c r="L12" s="28">
        <v>1317</v>
      </c>
      <c r="M12" s="28">
        <v>1317</v>
      </c>
      <c r="N12" s="28">
        <v>1317</v>
      </c>
      <c r="O12" s="28">
        <v>1317</v>
      </c>
      <c r="P12" s="28">
        <v>1317</v>
      </c>
      <c r="Q12" s="28">
        <f>SUM(E12:P12)</f>
        <v>7902</v>
      </c>
    </row>
    <row r="13" spans="1:19" x14ac:dyDescent="0.2">
      <c r="B13" s="17" t="s">
        <v>318</v>
      </c>
      <c r="C13" s="21" t="s">
        <v>24</v>
      </c>
      <c r="D13" s="21" t="s">
        <v>144</v>
      </c>
      <c r="E13" s="28">
        <v>1820.59</v>
      </c>
      <c r="F13" s="28">
        <f>E13</f>
        <v>1820.59</v>
      </c>
      <c r="G13" s="28">
        <v>1820.59</v>
      </c>
      <c r="H13" s="28">
        <v>1820.59</v>
      </c>
      <c r="I13" s="28">
        <v>1820.59</v>
      </c>
      <c r="J13" s="28">
        <v>1820.59</v>
      </c>
      <c r="K13" s="28">
        <v>1820.59</v>
      </c>
      <c r="L13" s="28">
        <v>1820.59</v>
      </c>
      <c r="M13" s="28">
        <v>1820.59</v>
      </c>
      <c r="N13" s="28">
        <v>1820.59</v>
      </c>
      <c r="O13" s="28">
        <v>1820.59</v>
      </c>
      <c r="P13" s="28">
        <v>2093</v>
      </c>
      <c r="Q13" s="28">
        <f>SUM(E13:P13)</f>
        <v>22119.489999999998</v>
      </c>
    </row>
    <row r="14" spans="1:19" x14ac:dyDescent="0.2">
      <c r="A14" s="37" t="s">
        <v>235</v>
      </c>
      <c r="B14" s="17" t="s">
        <v>7</v>
      </c>
      <c r="C14" s="21" t="s">
        <v>7</v>
      </c>
      <c r="D14" s="21" t="s">
        <v>144</v>
      </c>
      <c r="E14" s="28">
        <v>5416.33</v>
      </c>
      <c r="F14" s="28">
        <f>E14</f>
        <v>5416.33</v>
      </c>
      <c r="G14" s="28">
        <f t="shared" ref="G14:K14" si="0">F14</f>
        <v>5416.33</v>
      </c>
      <c r="H14" s="28">
        <f t="shared" si="0"/>
        <v>5416.33</v>
      </c>
      <c r="I14" s="28">
        <f t="shared" si="0"/>
        <v>5416.33</v>
      </c>
      <c r="J14" s="28">
        <f t="shared" si="0"/>
        <v>5416.33</v>
      </c>
      <c r="K14" s="28">
        <f t="shared" si="0"/>
        <v>5416.33</v>
      </c>
      <c r="L14" s="65">
        <v>5416.33</v>
      </c>
      <c r="M14" s="65">
        <v>0</v>
      </c>
      <c r="N14" s="65">
        <v>0</v>
      </c>
      <c r="O14" s="65">
        <v>0</v>
      </c>
      <c r="P14" s="65">
        <v>0</v>
      </c>
      <c r="Q14" s="28">
        <f>SUM(E14:P14)</f>
        <v>43330.640000000007</v>
      </c>
    </row>
    <row r="15" spans="1:19" x14ac:dyDescent="0.2">
      <c r="A15" s="37" t="s">
        <v>237</v>
      </c>
      <c r="B15" s="51" t="s">
        <v>319</v>
      </c>
      <c r="C15" s="168" t="s">
        <v>70</v>
      </c>
      <c r="D15" s="192" t="s">
        <v>144</v>
      </c>
      <c r="E15" s="67">
        <v>5194.74</v>
      </c>
      <c r="F15" s="67">
        <f>E15</f>
        <v>5194.74</v>
      </c>
      <c r="G15" s="67">
        <f t="shared" ref="G15:L15" si="1">F15</f>
        <v>5194.74</v>
      </c>
      <c r="H15" s="67">
        <f t="shared" si="1"/>
        <v>5194.74</v>
      </c>
      <c r="I15" s="67">
        <f t="shared" si="1"/>
        <v>5194.74</v>
      </c>
      <c r="J15" s="67">
        <f t="shared" si="1"/>
        <v>5194.74</v>
      </c>
      <c r="K15" s="67">
        <f t="shared" si="1"/>
        <v>5194.74</v>
      </c>
      <c r="L15" s="67">
        <f t="shared" si="1"/>
        <v>5194.74</v>
      </c>
      <c r="M15" s="68">
        <v>0</v>
      </c>
      <c r="N15" s="68">
        <v>0</v>
      </c>
      <c r="O15" s="68">
        <v>0</v>
      </c>
      <c r="P15" s="68">
        <v>0</v>
      </c>
      <c r="Q15" s="67">
        <f>SUM(E15:P15)</f>
        <v>41557.919999999991</v>
      </c>
    </row>
    <row r="16" spans="1:19" ht="19.5" customHeight="1" x14ac:dyDescent="0.2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2:18" x14ac:dyDescent="0.2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8" x14ac:dyDescent="0.2">
      <c r="B18" s="122" t="s">
        <v>323</v>
      </c>
      <c r="C18" s="76"/>
      <c r="D18" s="76"/>
      <c r="E18" s="76" t="s">
        <v>221</v>
      </c>
      <c r="F18" s="76" t="s">
        <v>221</v>
      </c>
      <c r="G18" s="76" t="s">
        <v>221</v>
      </c>
      <c r="H18" s="76" t="s">
        <v>222</v>
      </c>
      <c r="I18" s="76" t="s">
        <v>222</v>
      </c>
      <c r="J18" s="76" t="s">
        <v>222</v>
      </c>
      <c r="K18" s="76" t="s">
        <v>223</v>
      </c>
      <c r="L18" s="76" t="s">
        <v>223</v>
      </c>
      <c r="M18" s="76" t="s">
        <v>223</v>
      </c>
      <c r="N18" s="76" t="s">
        <v>224</v>
      </c>
      <c r="O18" s="76" t="s">
        <v>224</v>
      </c>
      <c r="P18" s="76" t="s">
        <v>224</v>
      </c>
      <c r="Q18" s="76"/>
    </row>
    <row r="19" spans="2:18" s="2" customFormat="1" ht="25.5" x14ac:dyDescent="0.2">
      <c r="B19" s="72" t="s">
        <v>316</v>
      </c>
      <c r="C19" s="78" t="s">
        <v>317</v>
      </c>
      <c r="D19" s="72" t="s">
        <v>142</v>
      </c>
      <c r="E19" s="77">
        <v>41275</v>
      </c>
      <c r="F19" s="77">
        <v>41306</v>
      </c>
      <c r="G19" s="77">
        <v>41334</v>
      </c>
      <c r="H19" s="77">
        <v>41365</v>
      </c>
      <c r="I19" s="77">
        <v>41395</v>
      </c>
      <c r="J19" s="77">
        <v>41426</v>
      </c>
      <c r="K19" s="77">
        <v>41456</v>
      </c>
      <c r="L19" s="77">
        <v>41487</v>
      </c>
      <c r="M19" s="77">
        <v>41518</v>
      </c>
      <c r="N19" s="77">
        <v>41548</v>
      </c>
      <c r="O19" s="77">
        <v>41579</v>
      </c>
      <c r="P19" s="77">
        <v>41609</v>
      </c>
      <c r="Q19" s="78" t="s">
        <v>145</v>
      </c>
    </row>
    <row r="20" spans="2:18" x14ac:dyDescent="0.2">
      <c r="B20" s="17" t="s">
        <v>320</v>
      </c>
      <c r="C20" s="21" t="s">
        <v>29</v>
      </c>
      <c r="D20" s="21" t="s">
        <v>143</v>
      </c>
      <c r="E20" s="28">
        <f t="shared" ref="E20:P20" si="2">E11*(1+$G$7)</f>
        <v>4816.5510975555562</v>
      </c>
      <c r="F20" s="28">
        <f t="shared" si="2"/>
        <v>4816.5510975555562</v>
      </c>
      <c r="G20" s="28">
        <f t="shared" si="2"/>
        <v>4816.5510975555562</v>
      </c>
      <c r="H20" s="28">
        <f t="shared" si="2"/>
        <v>4816.5510975555562</v>
      </c>
      <c r="I20" s="28">
        <f t="shared" si="2"/>
        <v>4816.5510975555562</v>
      </c>
      <c r="J20" s="28">
        <f t="shared" si="2"/>
        <v>4816.5510975555562</v>
      </c>
      <c r="K20" s="28">
        <f t="shared" si="2"/>
        <v>5201.8776952222224</v>
      </c>
      <c r="L20" s="28">
        <f t="shared" si="2"/>
        <v>5201.8776952222224</v>
      </c>
      <c r="M20" s="28">
        <f t="shared" si="2"/>
        <v>5201.8776952222224</v>
      </c>
      <c r="N20" s="28">
        <f t="shared" si="2"/>
        <v>5201.8776952222224</v>
      </c>
      <c r="O20" s="28">
        <f t="shared" si="2"/>
        <v>5201.8776952222224</v>
      </c>
      <c r="P20" s="28">
        <f t="shared" si="2"/>
        <v>5201.8776952222224</v>
      </c>
      <c r="Q20" s="28">
        <f>SUM(E20:P20)</f>
        <v>60110.572756666683</v>
      </c>
    </row>
    <row r="21" spans="2:18" x14ac:dyDescent="0.2">
      <c r="B21" s="17" t="s">
        <v>315</v>
      </c>
      <c r="C21" s="21" t="s">
        <v>114</v>
      </c>
      <c r="D21" s="21" t="s">
        <v>144</v>
      </c>
      <c r="E21" s="28">
        <f t="shared" ref="E21:P21" si="3">E12*(1+$G$7)</f>
        <v>0</v>
      </c>
      <c r="F21" s="28">
        <f t="shared" si="3"/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2065.9303416666671</v>
      </c>
      <c r="L21" s="28">
        <f t="shared" si="3"/>
        <v>2065.9303416666671</v>
      </c>
      <c r="M21" s="28">
        <f t="shared" si="3"/>
        <v>2065.9303416666671</v>
      </c>
      <c r="N21" s="28">
        <f t="shared" si="3"/>
        <v>2065.9303416666671</v>
      </c>
      <c r="O21" s="28">
        <f t="shared" si="3"/>
        <v>2065.9303416666671</v>
      </c>
      <c r="P21" s="28">
        <f t="shared" si="3"/>
        <v>2065.9303416666671</v>
      </c>
      <c r="Q21" s="28">
        <f>SUM(E21:P21)</f>
        <v>12395.582050000001</v>
      </c>
    </row>
    <row r="22" spans="2:18" x14ac:dyDescent="0.2">
      <c r="B22" s="216" t="s">
        <v>318</v>
      </c>
      <c r="C22" s="21" t="s">
        <v>24</v>
      </c>
      <c r="D22" s="21" t="s">
        <v>144</v>
      </c>
      <c r="E22" s="28">
        <f t="shared" ref="E22:P22" si="4">E13*(1+$G$7)</f>
        <v>2855.8937894722226</v>
      </c>
      <c r="F22" s="28">
        <f t="shared" si="4"/>
        <v>2855.8937894722226</v>
      </c>
      <c r="G22" s="28">
        <f t="shared" si="4"/>
        <v>2855.8937894722226</v>
      </c>
      <c r="H22" s="28">
        <f t="shared" si="4"/>
        <v>2855.8937894722226</v>
      </c>
      <c r="I22" s="28">
        <f t="shared" si="4"/>
        <v>2855.8937894722226</v>
      </c>
      <c r="J22" s="28">
        <f t="shared" si="4"/>
        <v>2855.8937894722226</v>
      </c>
      <c r="K22" s="28">
        <f t="shared" si="4"/>
        <v>2855.8937894722226</v>
      </c>
      <c r="L22" s="28">
        <f t="shared" si="4"/>
        <v>2855.8937894722226</v>
      </c>
      <c r="M22" s="28">
        <f t="shared" si="4"/>
        <v>2855.8937894722226</v>
      </c>
      <c r="N22" s="28">
        <f t="shared" si="4"/>
        <v>2855.8937894722226</v>
      </c>
      <c r="O22" s="28">
        <f t="shared" si="4"/>
        <v>2855.8937894722226</v>
      </c>
      <c r="P22" s="28">
        <f t="shared" si="4"/>
        <v>3283.213519444445</v>
      </c>
      <c r="Q22" s="28">
        <f>SUM(E22:P22)</f>
        <v>34698.045203638889</v>
      </c>
    </row>
    <row r="23" spans="2:18" x14ac:dyDescent="0.2">
      <c r="B23" s="17" t="s">
        <v>7</v>
      </c>
      <c r="C23" s="21" t="s">
        <v>7</v>
      </c>
      <c r="D23" s="21" t="s">
        <v>144</v>
      </c>
      <c r="E23" s="28">
        <f t="shared" ref="E23:P23" si="5">E14*(1+$G$7)</f>
        <v>8496.401281305556</v>
      </c>
      <c r="F23" s="28">
        <f t="shared" si="5"/>
        <v>8496.401281305556</v>
      </c>
      <c r="G23" s="28">
        <f t="shared" si="5"/>
        <v>8496.401281305556</v>
      </c>
      <c r="H23" s="28">
        <f t="shared" si="5"/>
        <v>8496.401281305556</v>
      </c>
      <c r="I23" s="28">
        <f t="shared" si="5"/>
        <v>8496.401281305556</v>
      </c>
      <c r="J23" s="28">
        <f t="shared" si="5"/>
        <v>8496.401281305556</v>
      </c>
      <c r="K23" s="28">
        <f t="shared" si="5"/>
        <v>8496.401281305556</v>
      </c>
      <c r="L23" s="28">
        <f t="shared" si="5"/>
        <v>8496.401281305556</v>
      </c>
      <c r="M23" s="28">
        <f t="shared" si="5"/>
        <v>0</v>
      </c>
      <c r="N23" s="28">
        <f t="shared" si="5"/>
        <v>0</v>
      </c>
      <c r="O23" s="28">
        <f t="shared" si="5"/>
        <v>0</v>
      </c>
      <c r="P23" s="28">
        <f t="shared" si="5"/>
        <v>0</v>
      </c>
      <c r="Q23" s="28">
        <f>SUM(E23:P23)</f>
        <v>67971.210250444463</v>
      </c>
      <c r="R23" s="170" t="s">
        <v>347</v>
      </c>
    </row>
    <row r="24" spans="2:18" x14ac:dyDescent="0.2">
      <c r="B24" s="51" t="s">
        <v>319</v>
      </c>
      <c r="C24" s="38" t="s">
        <v>70</v>
      </c>
      <c r="D24" s="38" t="s">
        <v>144</v>
      </c>
      <c r="E24" s="67">
        <f t="shared" ref="E24:P24" si="6">E15*(1+$G$7)</f>
        <v>8148.8010501666677</v>
      </c>
      <c r="F24" s="67">
        <f t="shared" si="6"/>
        <v>8148.8010501666677</v>
      </c>
      <c r="G24" s="67">
        <f t="shared" si="6"/>
        <v>8148.8010501666677</v>
      </c>
      <c r="H24" s="67">
        <f t="shared" si="6"/>
        <v>8148.8010501666677</v>
      </c>
      <c r="I24" s="67">
        <f t="shared" si="6"/>
        <v>8148.8010501666677</v>
      </c>
      <c r="J24" s="67">
        <f t="shared" si="6"/>
        <v>8148.8010501666677</v>
      </c>
      <c r="K24" s="67">
        <f t="shared" si="6"/>
        <v>8148.8010501666677</v>
      </c>
      <c r="L24" s="67">
        <f t="shared" si="6"/>
        <v>8148.8010501666677</v>
      </c>
      <c r="M24" s="67">
        <f t="shared" si="6"/>
        <v>0</v>
      </c>
      <c r="N24" s="67">
        <f t="shared" si="6"/>
        <v>0</v>
      </c>
      <c r="O24" s="67">
        <f t="shared" si="6"/>
        <v>0</v>
      </c>
      <c r="P24" s="67">
        <f t="shared" si="6"/>
        <v>0</v>
      </c>
      <c r="Q24" s="67">
        <f>SUM(E24:P24)</f>
        <v>65190.408401333334</v>
      </c>
      <c r="R24" s="170" t="s">
        <v>347</v>
      </c>
    </row>
    <row r="25" spans="2:18" x14ac:dyDescent="0.2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8" x14ac:dyDescent="0.2">
      <c r="B26" s="122" t="s">
        <v>324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</row>
    <row r="27" spans="2:18" s="2" customFormat="1" x14ac:dyDescent="0.2">
      <c r="B27" s="72" t="s">
        <v>316</v>
      </c>
      <c r="C27" s="78" t="s">
        <v>317</v>
      </c>
      <c r="D27" s="73" t="s">
        <v>142</v>
      </c>
      <c r="E27" s="79">
        <v>41275</v>
      </c>
      <c r="F27" s="79">
        <v>41306</v>
      </c>
      <c r="G27" s="79">
        <v>41334</v>
      </c>
      <c r="H27" s="79">
        <v>41365</v>
      </c>
      <c r="I27" s="79">
        <v>41395</v>
      </c>
      <c r="J27" s="79">
        <v>41426</v>
      </c>
      <c r="K27" s="79">
        <v>41456</v>
      </c>
      <c r="L27" s="79">
        <v>41487</v>
      </c>
      <c r="M27" s="79">
        <v>41518</v>
      </c>
      <c r="N27" s="79">
        <v>41548</v>
      </c>
      <c r="O27" s="79">
        <v>41579</v>
      </c>
      <c r="P27" s="79">
        <v>41609</v>
      </c>
    </row>
    <row r="28" spans="2:18" x14ac:dyDescent="0.2">
      <c r="B28" s="216" t="s">
        <v>320</v>
      </c>
      <c r="C28" s="21" t="str">
        <f>C11</f>
        <v>Érica Serra</v>
      </c>
      <c r="D28" s="21" t="s">
        <v>143</v>
      </c>
      <c r="E28" s="82">
        <f>E20/E$36</f>
        <v>25.81770528278064</v>
      </c>
      <c r="F28" s="82">
        <f t="shared" ref="F28:P28" si="7">F20/F$36</f>
        <v>28.3994758110587</v>
      </c>
      <c r="G28" s="82">
        <f t="shared" si="7"/>
        <v>28.3994758110587</v>
      </c>
      <c r="H28" s="82">
        <f t="shared" si="7"/>
        <v>25.81770528278064</v>
      </c>
      <c r="I28" s="82">
        <f t="shared" si="7"/>
        <v>27.047119820055908</v>
      </c>
      <c r="J28" s="82">
        <f t="shared" si="7"/>
        <v>28.3994758110587</v>
      </c>
      <c r="K28" s="82">
        <f t="shared" si="7"/>
        <v>26.670824934486372</v>
      </c>
      <c r="L28" s="82">
        <f t="shared" si="7"/>
        <v>27.883135158781208</v>
      </c>
      <c r="M28" s="82">
        <f t="shared" si="7"/>
        <v>29.210903499675549</v>
      </c>
      <c r="N28" s="82">
        <f t="shared" si="7"/>
        <v>26.670824934486372</v>
      </c>
      <c r="O28" s="82">
        <f t="shared" si="7"/>
        <v>30.671448674659327</v>
      </c>
      <c r="P28" s="82">
        <f t="shared" si="7"/>
        <v>29.210903499675549</v>
      </c>
    </row>
    <row r="29" spans="2:18" x14ac:dyDescent="0.2">
      <c r="B29" s="17" t="s">
        <v>315</v>
      </c>
      <c r="C29" s="21" t="str">
        <f>C12</f>
        <v>Felipe Chavita</v>
      </c>
      <c r="D29" s="21" t="s">
        <v>144</v>
      </c>
      <c r="E29" s="28">
        <f t="shared" ref="E29:P29" si="8">E21/E$36</f>
        <v>0</v>
      </c>
      <c r="F29" s="28">
        <f t="shared" si="8"/>
        <v>0</v>
      </c>
      <c r="G29" s="28">
        <f t="shared" si="8"/>
        <v>0</v>
      </c>
      <c r="H29" s="28">
        <f t="shared" si="8"/>
        <v>0</v>
      </c>
      <c r="I29" s="28">
        <f t="shared" si="8"/>
        <v>0</v>
      </c>
      <c r="J29" s="28">
        <f t="shared" si="8"/>
        <v>0</v>
      </c>
      <c r="K29" s="28">
        <f t="shared" si="8"/>
        <v>10.592341784591197</v>
      </c>
      <c r="L29" s="28">
        <f t="shared" si="8"/>
        <v>11.073811865708979</v>
      </c>
      <c r="M29" s="28">
        <f t="shared" si="8"/>
        <v>11.601136240266548</v>
      </c>
      <c r="N29" s="28">
        <f t="shared" si="8"/>
        <v>10.592341784591197</v>
      </c>
      <c r="O29" s="28">
        <f t="shared" si="8"/>
        <v>12.181193052279875</v>
      </c>
      <c r="P29" s="28">
        <f t="shared" si="8"/>
        <v>11.601136240266548</v>
      </c>
    </row>
    <row r="30" spans="2:18" x14ac:dyDescent="0.2">
      <c r="B30" s="17" t="s">
        <v>318</v>
      </c>
      <c r="C30" s="21" t="str">
        <f>C13</f>
        <v>Larissa</v>
      </c>
      <c r="D30" s="21" t="s">
        <v>144</v>
      </c>
      <c r="E30" s="28">
        <f t="shared" ref="E30:P30" si="9">E22/E$36</f>
        <v>15.308178545627264</v>
      </c>
      <c r="F30" s="28">
        <f t="shared" si="9"/>
        <v>16.838996400189988</v>
      </c>
      <c r="G30" s="28">
        <f t="shared" si="9"/>
        <v>16.838996400189988</v>
      </c>
      <c r="H30" s="28">
        <f t="shared" si="9"/>
        <v>15.308178545627264</v>
      </c>
      <c r="I30" s="28">
        <f t="shared" si="9"/>
        <v>16.037139428752372</v>
      </c>
      <c r="J30" s="28">
        <f t="shared" si="9"/>
        <v>16.838996400189988</v>
      </c>
      <c r="K30" s="28">
        <f t="shared" si="9"/>
        <v>14.642605565382599</v>
      </c>
      <c r="L30" s="28">
        <f t="shared" si="9"/>
        <v>15.308178545627264</v>
      </c>
      <c r="M30" s="28">
        <f t="shared" si="9"/>
        <v>16.037139428752372</v>
      </c>
      <c r="N30" s="28">
        <f t="shared" si="9"/>
        <v>14.642605565382599</v>
      </c>
      <c r="O30" s="28">
        <f t="shared" si="9"/>
        <v>16.838996400189988</v>
      </c>
      <c r="P30" s="28">
        <f t="shared" si="9"/>
        <v>18.436733599755417</v>
      </c>
    </row>
    <row r="31" spans="2:18" x14ac:dyDescent="0.2">
      <c r="B31" s="17" t="s">
        <v>7</v>
      </c>
      <c r="C31" s="21" t="str">
        <f>C14</f>
        <v>Luciana Dutra</v>
      </c>
      <c r="D31" s="21" t="s">
        <v>144</v>
      </c>
      <c r="E31" s="28">
        <f t="shared" ref="E31:P31" si="10">E23/E$36</f>
        <v>45.542459698250191</v>
      </c>
      <c r="F31" s="28">
        <f t="shared" si="10"/>
        <v>50.096705668075202</v>
      </c>
      <c r="G31" s="28">
        <f t="shared" si="10"/>
        <v>50.096705668075202</v>
      </c>
      <c r="H31" s="28">
        <f t="shared" si="10"/>
        <v>45.542459698250191</v>
      </c>
      <c r="I31" s="28">
        <f t="shared" si="10"/>
        <v>47.711148255309723</v>
      </c>
      <c r="J31" s="28">
        <f t="shared" si="10"/>
        <v>50.096705668075202</v>
      </c>
      <c r="K31" s="28">
        <f t="shared" si="10"/>
        <v>43.562352754848007</v>
      </c>
      <c r="L31" s="28">
        <f t="shared" si="10"/>
        <v>45.542459698250191</v>
      </c>
      <c r="M31" s="28">
        <f t="shared" si="10"/>
        <v>0</v>
      </c>
      <c r="N31" s="28">
        <f t="shared" si="10"/>
        <v>0</v>
      </c>
      <c r="O31" s="28">
        <f t="shared" si="10"/>
        <v>0</v>
      </c>
      <c r="P31" s="28">
        <f t="shared" si="10"/>
        <v>0</v>
      </c>
    </row>
    <row r="32" spans="2:18" x14ac:dyDescent="0.2">
      <c r="B32" s="51" t="s">
        <v>319</v>
      </c>
      <c r="C32" s="38" t="str">
        <f>C15</f>
        <v>Vera Moura</v>
      </c>
      <c r="D32" s="38" t="s">
        <v>144</v>
      </c>
      <c r="E32" s="67">
        <f t="shared" ref="E32:P32" si="11">E24/E$36</f>
        <v>43.679250912128367</v>
      </c>
      <c r="F32" s="67">
        <f t="shared" si="11"/>
        <v>48.047176003341193</v>
      </c>
      <c r="G32" s="67">
        <f t="shared" si="11"/>
        <v>48.047176003341193</v>
      </c>
      <c r="H32" s="67">
        <f t="shared" si="11"/>
        <v>43.679250912128367</v>
      </c>
      <c r="I32" s="67">
        <f t="shared" si="11"/>
        <v>45.759215241277332</v>
      </c>
      <c r="J32" s="67">
        <f t="shared" si="11"/>
        <v>48.047176003341193</v>
      </c>
      <c r="K32" s="67">
        <f t="shared" si="11"/>
        <v>41.780153046383646</v>
      </c>
      <c r="L32" s="67">
        <f t="shared" si="11"/>
        <v>43.679250912128367</v>
      </c>
      <c r="M32" s="67">
        <f t="shared" si="11"/>
        <v>0</v>
      </c>
      <c r="N32" s="67">
        <f t="shared" si="11"/>
        <v>0</v>
      </c>
      <c r="O32" s="67">
        <f t="shared" si="11"/>
        <v>0</v>
      </c>
      <c r="P32" s="67">
        <f t="shared" si="11"/>
        <v>0</v>
      </c>
    </row>
    <row r="33" spans="1:16" x14ac:dyDescent="0.2">
      <c r="C33" s="50"/>
      <c r="D33" s="5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">
      <c r="B34" s="80" t="s">
        <v>140</v>
      </c>
      <c r="D34" s="73"/>
      <c r="E34" s="79">
        <v>41275</v>
      </c>
      <c r="F34" s="79">
        <v>41306</v>
      </c>
      <c r="G34" s="79">
        <v>41334</v>
      </c>
      <c r="H34" s="79">
        <v>41365</v>
      </c>
      <c r="I34" s="79">
        <v>41395</v>
      </c>
      <c r="J34" s="79">
        <v>41426</v>
      </c>
      <c r="K34" s="79">
        <v>41456</v>
      </c>
      <c r="L34" s="79">
        <v>41487</v>
      </c>
      <c r="M34" s="79">
        <v>41518</v>
      </c>
      <c r="N34" s="79">
        <v>41548</v>
      </c>
      <c r="O34" s="79">
        <v>41579</v>
      </c>
      <c r="P34" s="79">
        <v>41609</v>
      </c>
    </row>
    <row r="35" spans="1:16" x14ac:dyDescent="0.2">
      <c r="B35" s="21" t="s">
        <v>106</v>
      </c>
      <c r="D35" s="20"/>
      <c r="E35" s="20">
        <f>VLOOKUP(E34,'Dias Úteis'!$E$7:$G$18,3,FALSE)</f>
        <v>22</v>
      </c>
      <c r="F35" s="20">
        <f>VLOOKUP(F34,'Dias Úteis'!$E$7:$G$18,3,FALSE)</f>
        <v>20</v>
      </c>
      <c r="G35" s="20">
        <f>VLOOKUP(G34,'Dias Úteis'!$E$7:$G$18,3,FALSE)</f>
        <v>20</v>
      </c>
      <c r="H35" s="20">
        <f>VLOOKUP(H34,'Dias Úteis'!$E$7:$G$18,3,FALSE)</f>
        <v>22</v>
      </c>
      <c r="I35" s="20">
        <f>VLOOKUP(I34,'Dias Úteis'!$E$7:$G$18,3,FALSE)</f>
        <v>21</v>
      </c>
      <c r="J35" s="20">
        <f>VLOOKUP(J34,'Dias Úteis'!$E$7:$G$18,3,FALSE)</f>
        <v>20</v>
      </c>
      <c r="K35" s="20">
        <f>VLOOKUP(K34,'Dias Úteis'!$E$7:$G$18,3,FALSE)</f>
        <v>23</v>
      </c>
      <c r="L35" s="20">
        <f>VLOOKUP(L34,'Dias Úteis'!$E$7:$G$18,3,FALSE)</f>
        <v>22</v>
      </c>
      <c r="M35" s="20">
        <f>VLOOKUP(M34,'Dias Úteis'!$E$7:$G$18,3,FALSE)</f>
        <v>21</v>
      </c>
      <c r="N35" s="20">
        <f>VLOOKUP(N34,'Dias Úteis'!$E$7:$G$18,3,FALSE)</f>
        <v>23</v>
      </c>
      <c r="O35" s="20">
        <f>VLOOKUP(O34,'Dias Úteis'!$E$7:$G$18,3,FALSE)</f>
        <v>20</v>
      </c>
      <c r="P35" s="20">
        <f>VLOOKUP(P34,'Dias Úteis'!$E$7:$G$18,3,FALSE)</f>
        <v>21</v>
      </c>
    </row>
    <row r="36" spans="1:16" x14ac:dyDescent="0.2">
      <c r="A36" s="95" t="s">
        <v>265</v>
      </c>
      <c r="B36" s="38" t="s">
        <v>107</v>
      </c>
      <c r="D36" s="18"/>
      <c r="E36" s="18">
        <f t="shared" ref="E36:P36" si="12">8.48*E35</f>
        <v>186.56</v>
      </c>
      <c r="F36" s="18">
        <f t="shared" si="12"/>
        <v>169.60000000000002</v>
      </c>
      <c r="G36" s="18">
        <f t="shared" si="12"/>
        <v>169.60000000000002</v>
      </c>
      <c r="H36" s="18">
        <f t="shared" si="12"/>
        <v>186.56</v>
      </c>
      <c r="I36" s="18">
        <f t="shared" si="12"/>
        <v>178.08</v>
      </c>
      <c r="J36" s="18">
        <f t="shared" si="12"/>
        <v>169.60000000000002</v>
      </c>
      <c r="K36" s="18">
        <f t="shared" si="12"/>
        <v>195.04000000000002</v>
      </c>
      <c r="L36" s="18">
        <f t="shared" si="12"/>
        <v>186.56</v>
      </c>
      <c r="M36" s="18">
        <f t="shared" si="12"/>
        <v>178.08</v>
      </c>
      <c r="N36" s="18">
        <f t="shared" si="12"/>
        <v>195.04000000000002</v>
      </c>
      <c r="O36" s="18">
        <f t="shared" si="12"/>
        <v>169.60000000000002</v>
      </c>
      <c r="P36" s="18">
        <f t="shared" si="12"/>
        <v>178.08</v>
      </c>
    </row>
    <row r="37" spans="1:16" x14ac:dyDescent="0.2">
      <c r="C37" s="81"/>
      <c r="D37" s="2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8" spans="1:16" x14ac:dyDescent="0.2">
      <c r="C38" s="50"/>
      <c r="D38" s="2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</row>
    <row r="39" spans="1:16" x14ac:dyDescent="0.2">
      <c r="B39" s="17" t="s">
        <v>328</v>
      </c>
      <c r="C39" s="50"/>
      <c r="D39" s="2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</row>
    <row r="40" spans="1:16" x14ac:dyDescent="0.2"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1" spans="1:16" x14ac:dyDescent="0.2">
      <c r="A41" s="37" t="s">
        <v>233</v>
      </c>
      <c r="B41" s="17" t="s">
        <v>236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">
      <c r="A42" s="37" t="s">
        <v>235</v>
      </c>
      <c r="B42" s="17" t="s">
        <v>245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">
      <c r="A43" s="37" t="s">
        <v>237</v>
      </c>
      <c r="B43" s="17" t="s">
        <v>238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">
      <c r="A44" s="95" t="s">
        <v>265</v>
      </c>
      <c r="B44" s="50" t="s">
        <v>264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6" spans="1:16" x14ac:dyDescent="0.2">
      <c r="A46" s="29"/>
      <c r="B46" s="29"/>
    </row>
    <row r="47" spans="1:16" x14ac:dyDescent="0.2">
      <c r="A47" s="29"/>
      <c r="B47" s="29"/>
    </row>
    <row r="48" spans="1:16" x14ac:dyDescent="0.2">
      <c r="A48" s="29"/>
      <c r="B48" s="216" t="s">
        <v>315</v>
      </c>
      <c r="C48" s="216" t="s">
        <v>378</v>
      </c>
    </row>
    <row r="49" spans="2:3" x14ac:dyDescent="0.2">
      <c r="B49" s="216" t="s">
        <v>318</v>
      </c>
      <c r="C49" s="216" t="s">
        <v>378</v>
      </c>
    </row>
    <row r="50" spans="2:3" x14ac:dyDescent="0.2">
      <c r="B50" s="216" t="s">
        <v>320</v>
      </c>
      <c r="C50" s="216" t="s">
        <v>379</v>
      </c>
    </row>
    <row r="51" spans="2:3" x14ac:dyDescent="0.2">
      <c r="B51" s="216" t="s">
        <v>319</v>
      </c>
      <c r="C51" s="216" t="s">
        <v>378</v>
      </c>
    </row>
    <row r="52" spans="2:3" x14ac:dyDescent="0.2">
      <c r="B52" s="216" t="s">
        <v>7</v>
      </c>
      <c r="C52" s="216" t="s">
        <v>379</v>
      </c>
    </row>
    <row r="53" spans="2:3" x14ac:dyDescent="0.2">
      <c r="B53" s="216"/>
    </row>
  </sheetData>
  <sortState ref="C4:C8">
    <sortCondition ref="C4"/>
  </sortState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&amp;C&amp;8____________________
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opLeftCell="A7" workbookViewId="0">
      <selection activeCell="H6" sqref="H6"/>
    </sheetView>
  </sheetViews>
  <sheetFormatPr defaultRowHeight="15.75" x14ac:dyDescent="0.25"/>
  <cols>
    <col min="1" max="1" width="5" customWidth="1"/>
    <col min="2" max="2" width="14.875" bestFit="1" customWidth="1"/>
    <col min="3" max="3" width="81.5" customWidth="1"/>
    <col min="4" max="4" width="13.875" customWidth="1"/>
    <col min="5" max="5" width="7.375" customWidth="1"/>
    <col min="6" max="7" width="10.75" customWidth="1"/>
  </cols>
  <sheetData>
    <row r="1" spans="1:10" ht="18.75" x14ac:dyDescent="0.25">
      <c r="A1" s="129" t="s">
        <v>102</v>
      </c>
    </row>
    <row r="2" spans="1:10" x14ac:dyDescent="0.25">
      <c r="A2" s="130" t="s">
        <v>97</v>
      </c>
    </row>
    <row r="3" spans="1:10" x14ac:dyDescent="0.25">
      <c r="A3" s="130" t="s">
        <v>333</v>
      </c>
    </row>
    <row r="4" spans="1:10" s="170" customFormat="1" ht="12.75" x14ac:dyDescent="0.2">
      <c r="A4" s="169"/>
      <c r="D4" s="193" t="s">
        <v>233</v>
      </c>
      <c r="E4" s="193"/>
      <c r="F4" s="193"/>
      <c r="G4" s="193"/>
      <c r="H4" s="186" t="s">
        <v>235</v>
      </c>
      <c r="I4" s="186" t="s">
        <v>268</v>
      </c>
    </row>
    <row r="5" spans="1:10" s="182" customFormat="1" ht="24.75" customHeight="1" x14ac:dyDescent="0.25">
      <c r="B5" s="55" t="s">
        <v>332</v>
      </c>
      <c r="C5" s="55" t="s">
        <v>334</v>
      </c>
      <c r="D5" s="241" t="s">
        <v>338</v>
      </c>
      <c r="E5" s="241" t="s">
        <v>341</v>
      </c>
      <c r="F5" s="241" t="s">
        <v>339</v>
      </c>
      <c r="G5" s="241" t="s">
        <v>342</v>
      </c>
      <c r="H5" s="241" t="s">
        <v>22</v>
      </c>
      <c r="I5" s="241" t="s">
        <v>32</v>
      </c>
      <c r="J5" s="55" t="s">
        <v>94</v>
      </c>
    </row>
    <row r="6" spans="1:10" s="170" customFormat="1" ht="154.5" customHeight="1" x14ac:dyDescent="0.2">
      <c r="A6" s="216"/>
      <c r="B6" s="171" t="s">
        <v>18</v>
      </c>
      <c r="C6" s="240" t="s">
        <v>356</v>
      </c>
      <c r="D6" s="176">
        <f>SUMIFS(Investimentos!$P$6:$P$100,Investimentos!$I$6:$I$100,D$5,Investimentos!$C$6:$C$100,Projetos!$B6)</f>
        <v>1379.5665003229992</v>
      </c>
      <c r="E6" s="212">
        <v>0.2</v>
      </c>
      <c r="F6" s="176">
        <f>E6*Resumo!$H$9</f>
        <v>12022.114551333336</v>
      </c>
      <c r="G6" s="176">
        <f>D6+F6</f>
        <v>13401.681051656335</v>
      </c>
      <c r="H6" s="176">
        <f>SUMIFS(Investimentos!$P$6:$P$100,Investimentos!$I$6:$I$100,H$5,Investimentos!$C$6:$C$100,Projetos!$B6)</f>
        <v>961.25333333333344</v>
      </c>
      <c r="I6" s="176">
        <f>SUMIFS(Investimentos!$P$6:$P$100,Investimentos!$I$6:$I$100,I$5,Investimentos!$C$6:$C$100,Projetos!$B6)+SUMIFS(Terceiros!$F$38:$F$41,Terceiros!$B$38:$B$41,Projetos!B6)</f>
        <v>26362.624347169804</v>
      </c>
      <c r="J6" s="176">
        <f>SUM(G6:I6)</f>
        <v>40725.558732159472</v>
      </c>
    </row>
    <row r="7" spans="1:10" s="170" customFormat="1" ht="108" customHeight="1" x14ac:dyDescent="0.2">
      <c r="A7" s="216"/>
      <c r="B7" s="191" t="s">
        <v>64</v>
      </c>
      <c r="C7" s="219" t="s">
        <v>357</v>
      </c>
      <c r="D7" s="176">
        <f>SUMIFS(Investimentos!$P$6:$P$100,Investimentos!$I$6:$I$100,D$5,Investimentos!$C$6:$C$100,Projetos!$B7)</f>
        <v>101.01351765484968</v>
      </c>
      <c r="E7" s="212">
        <v>0.1</v>
      </c>
      <c r="F7" s="176">
        <f>E7*Resumo!$H$9</f>
        <v>6011.0572756666679</v>
      </c>
      <c r="G7" s="176">
        <f t="shared" ref="G7:G9" si="0">D7+F7</f>
        <v>6112.0707933215172</v>
      </c>
      <c r="H7" s="176">
        <f>SUMIFS(Investimentos!$P$6:$P$100,Investimentos!$I$6:$I$100,H$5,Investimentos!$C$6:$C$100,Projetos!$B7)</f>
        <v>2304.5699999999997</v>
      </c>
      <c r="I7" s="176">
        <f>SUMIFS(Investimentos!$P$6:$P$100,Investimentos!$I$6:$I$100,I$5,Investimentos!$C$6:$C$100,Projetos!$B7)+SUMIFS(Terceiros!$F$38:$F$41,Terceiros!$B$38:$B$41,Projetos!B7)</f>
        <v>9084.5783999999967</v>
      </c>
      <c r="J7" s="176">
        <f t="shared" ref="J7:J10" si="1">SUM(G7:I7)</f>
        <v>17501.219193321514</v>
      </c>
    </row>
    <row r="8" spans="1:10" s="170" customFormat="1" ht="118.5" customHeight="1" x14ac:dyDescent="0.2">
      <c r="A8" s="216"/>
      <c r="B8" s="171" t="s">
        <v>71</v>
      </c>
      <c r="C8" s="218" t="s">
        <v>352</v>
      </c>
      <c r="D8" s="176">
        <f>SUMIFS(Investimentos!$P$6:$P$100,Investimentos!$I$6:$I$100,D$5,Investimentos!$C$6:$C$100,Projetos!$B8)</f>
        <v>28.436973359718166</v>
      </c>
      <c r="E8" s="212">
        <v>0.4</v>
      </c>
      <c r="F8" s="176">
        <f>E8*Resumo!$H$9</f>
        <v>24044.229102666672</v>
      </c>
      <c r="G8" s="176">
        <f t="shared" si="0"/>
        <v>24072.666076026391</v>
      </c>
      <c r="H8" s="176">
        <f>SUMIFS(Investimentos!$P$6:$P$100,Investimentos!$I$6:$I$100,H$5,Investimentos!$C$6:$C$100,Projetos!$B8)</f>
        <v>10531.68</v>
      </c>
      <c r="I8" s="176">
        <f>SUMIFS(Investimentos!$P$6:$P$100,Investimentos!$I$6:$I$100,I$5,Investimentos!$C$6:$C$100,Projetos!$B8)+SUMIFS(Terceiros!$F$38:$F$41,Terceiros!$B$38:$B$41,Projetos!B8)</f>
        <v>43392.991838993694</v>
      </c>
      <c r="J8" s="176">
        <f t="shared" si="1"/>
        <v>77997.337915020093</v>
      </c>
    </row>
    <row r="9" spans="1:10" s="170" customFormat="1" ht="113.25" customHeight="1" x14ac:dyDescent="0.2">
      <c r="A9" s="216"/>
      <c r="B9" s="215" t="s">
        <v>51</v>
      </c>
      <c r="C9" s="218" t="s">
        <v>353</v>
      </c>
      <c r="D9" s="179">
        <f>SUMIFS(Investimentos!$P$6:$P$100,Investimentos!$I$6:$I$100,D$5,Investimentos!$C$6:$C$100,Projetos!$B9)</f>
        <v>399.34322790464654</v>
      </c>
      <c r="E9" s="242">
        <v>0.3</v>
      </c>
      <c r="F9" s="179">
        <f>E9*Resumo!$H$9</f>
        <v>18033.171827000002</v>
      </c>
      <c r="G9" s="179">
        <f t="shared" si="0"/>
        <v>18432.515054904648</v>
      </c>
      <c r="H9" s="179">
        <f>SUMIFS(Investimentos!$P$6:$P$100,Investimentos!$I$6:$I$100,H$5,Investimentos!$C$6:$C$100,Projetos!$B9)</f>
        <v>1024.6666666666665</v>
      </c>
      <c r="I9" s="179">
        <f>SUMIFS(Investimentos!$P$6:$P$100,Investimentos!$I$6:$I$100,I$5,Investimentos!$C$6:$C$100,Projetos!$B9)+SUMIFS(Terceiros!$F$38:$F$41,Terceiros!$B$38:$B$41,Projetos!B9)</f>
        <v>28819.15186666666</v>
      </c>
      <c r="J9" s="179">
        <f t="shared" si="1"/>
        <v>48276.333588237976</v>
      </c>
    </row>
    <row r="10" spans="1:10" s="170" customFormat="1" ht="12.75" x14ac:dyDescent="0.2">
      <c r="D10" s="177">
        <f t="shared" ref="D10:I10" si="2">SUM(D6:D9)</f>
        <v>1908.3602192422136</v>
      </c>
      <c r="E10" s="212">
        <f t="shared" si="2"/>
        <v>1</v>
      </c>
      <c r="F10" s="177">
        <f t="shared" si="2"/>
        <v>60110.572756666676</v>
      </c>
      <c r="G10" s="177">
        <f t="shared" si="2"/>
        <v>62018.932975908887</v>
      </c>
      <c r="H10" s="177">
        <f t="shared" si="2"/>
        <v>14822.17</v>
      </c>
      <c r="I10" s="177">
        <f t="shared" si="2"/>
        <v>107659.34645283016</v>
      </c>
      <c r="J10" s="177">
        <f t="shared" si="1"/>
        <v>184500.44942873903</v>
      </c>
    </row>
    <row r="11" spans="1:10" s="170" customFormat="1" ht="12.75" x14ac:dyDescent="0.2"/>
    <row r="12" spans="1:10" s="211" customFormat="1" ht="12.75" x14ac:dyDescent="0.2">
      <c r="D12" s="194"/>
      <c r="E12" s="212"/>
      <c r="F12" s="194"/>
      <c r="G12" s="194"/>
      <c r="H12" s="194"/>
      <c r="I12" s="194"/>
      <c r="J12" s="194"/>
    </row>
    <row r="13" spans="1:10" s="170" customFormat="1" ht="12.75" x14ac:dyDescent="0.2"/>
    <row r="14" spans="1:10" s="170" customFormat="1" ht="12.75" x14ac:dyDescent="0.2">
      <c r="B14" s="186" t="s">
        <v>233</v>
      </c>
      <c r="C14" s="170" t="s">
        <v>340</v>
      </c>
    </row>
    <row r="15" spans="1:10" s="170" customFormat="1" ht="12.75" x14ac:dyDescent="0.2">
      <c r="B15" s="186" t="s">
        <v>235</v>
      </c>
      <c r="C15" s="170" t="s">
        <v>343</v>
      </c>
    </row>
    <row r="16" spans="1:10" s="170" customFormat="1" ht="12.75" x14ac:dyDescent="0.2">
      <c r="B16" s="186" t="s">
        <v>268</v>
      </c>
      <c r="C16" s="170" t="s">
        <v>344</v>
      </c>
    </row>
    <row r="17" s="170" customFormat="1" ht="12.75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39"/>
  <sheetViews>
    <sheetView workbookViewId="0">
      <selection activeCell="L18" sqref="L18"/>
    </sheetView>
  </sheetViews>
  <sheetFormatPr defaultRowHeight="15" x14ac:dyDescent="0.25"/>
  <cols>
    <col min="1" max="1" width="3.5" style="14" customWidth="1"/>
    <col min="2" max="2" width="11.75" style="14" customWidth="1"/>
    <col min="3" max="3" width="26.125" style="14" bestFit="1" customWidth="1"/>
    <col min="4" max="4" width="3.375" style="14" customWidth="1"/>
    <col min="5" max="5" width="14.5" style="14" customWidth="1"/>
    <col min="6" max="6" width="9.875" style="14" bestFit="1" customWidth="1"/>
    <col min="7" max="16384" width="9" style="14"/>
  </cols>
  <sheetData>
    <row r="5" spans="2:7" x14ac:dyDescent="0.25">
      <c r="B5" s="24" t="s">
        <v>174</v>
      </c>
      <c r="C5" s="24"/>
      <c r="D5" s="25"/>
      <c r="E5" s="27" t="s">
        <v>178</v>
      </c>
      <c r="F5" s="27"/>
      <c r="G5" s="27"/>
    </row>
    <row r="6" spans="2:7" s="15" customFormat="1" x14ac:dyDescent="0.25">
      <c r="B6" s="26" t="s">
        <v>161</v>
      </c>
      <c r="C6" s="26" t="s">
        <v>162</v>
      </c>
      <c r="D6" s="46"/>
      <c r="E6" s="26" t="s">
        <v>175</v>
      </c>
      <c r="F6" s="26" t="s">
        <v>176</v>
      </c>
      <c r="G6" s="26" t="s">
        <v>177</v>
      </c>
    </row>
    <row r="7" spans="2:7" x14ac:dyDescent="0.25">
      <c r="B7" s="45">
        <v>41362</v>
      </c>
      <c r="C7" s="14" t="s">
        <v>163</v>
      </c>
      <c r="E7" s="45">
        <v>41275</v>
      </c>
      <c r="F7" s="45">
        <v>41305</v>
      </c>
      <c r="G7" s="15">
        <f>NETWORKDAYS(E7,F7,$B$7:$B$17)</f>
        <v>22</v>
      </c>
    </row>
    <row r="8" spans="2:7" x14ac:dyDescent="0.25">
      <c r="B8" s="45">
        <v>41424</v>
      </c>
      <c r="C8" s="14" t="s">
        <v>164</v>
      </c>
      <c r="E8" s="45">
        <v>41306</v>
      </c>
      <c r="F8" s="45">
        <v>41333</v>
      </c>
      <c r="G8" s="15">
        <f t="shared" ref="G8:G18" si="0">NETWORKDAYS(E8,F8,$B$7:$B$17)</f>
        <v>20</v>
      </c>
    </row>
    <row r="9" spans="2:7" x14ac:dyDescent="0.25">
      <c r="B9" s="45">
        <v>41525</v>
      </c>
      <c r="C9" s="14" t="s">
        <v>165</v>
      </c>
      <c r="E9" s="45">
        <v>41334</v>
      </c>
      <c r="F9" s="45">
        <v>41364</v>
      </c>
      <c r="G9" s="15">
        <f t="shared" si="0"/>
        <v>20</v>
      </c>
    </row>
    <row r="10" spans="2:7" x14ac:dyDescent="0.25">
      <c r="B10" s="45">
        <v>41275</v>
      </c>
      <c r="C10" s="14" t="s">
        <v>166</v>
      </c>
      <c r="E10" s="45">
        <v>41365</v>
      </c>
      <c r="F10" s="45">
        <v>41394</v>
      </c>
      <c r="G10" s="15">
        <f t="shared" si="0"/>
        <v>22</v>
      </c>
    </row>
    <row r="11" spans="2:7" x14ac:dyDescent="0.25">
      <c r="B11" s="45">
        <v>41385</v>
      </c>
      <c r="C11" s="14" t="s">
        <v>167</v>
      </c>
      <c r="E11" s="45">
        <v>41395</v>
      </c>
      <c r="F11" s="45">
        <v>41425</v>
      </c>
      <c r="G11" s="15">
        <f t="shared" si="0"/>
        <v>21</v>
      </c>
    </row>
    <row r="12" spans="2:7" x14ac:dyDescent="0.25">
      <c r="B12" s="45">
        <v>41395</v>
      </c>
      <c r="C12" s="14" t="s">
        <v>168</v>
      </c>
      <c r="E12" s="45">
        <v>41426</v>
      </c>
      <c r="F12" s="45">
        <v>41455</v>
      </c>
      <c r="G12" s="15">
        <f t="shared" si="0"/>
        <v>20</v>
      </c>
    </row>
    <row r="13" spans="2:7" x14ac:dyDescent="0.25">
      <c r="B13" s="45">
        <v>41524</v>
      </c>
      <c r="C13" s="14" t="s">
        <v>169</v>
      </c>
      <c r="E13" s="45">
        <v>41456</v>
      </c>
      <c r="F13" s="45">
        <v>41486</v>
      </c>
      <c r="G13" s="15">
        <f t="shared" si="0"/>
        <v>23</v>
      </c>
    </row>
    <row r="14" spans="2:7" x14ac:dyDescent="0.25">
      <c r="B14" s="45">
        <v>41559</v>
      </c>
      <c r="C14" s="14" t="s">
        <v>170</v>
      </c>
      <c r="E14" s="45">
        <v>41487</v>
      </c>
      <c r="F14" s="45">
        <v>41517</v>
      </c>
      <c r="G14" s="15">
        <f t="shared" si="0"/>
        <v>22</v>
      </c>
    </row>
    <row r="15" spans="2:7" x14ac:dyDescent="0.25">
      <c r="B15" s="45">
        <v>41580</v>
      </c>
      <c r="C15" s="14" t="s">
        <v>171</v>
      </c>
      <c r="E15" s="45">
        <v>41518</v>
      </c>
      <c r="F15" s="45">
        <v>41547</v>
      </c>
      <c r="G15" s="15">
        <f t="shared" si="0"/>
        <v>21</v>
      </c>
    </row>
    <row r="16" spans="2:7" x14ac:dyDescent="0.25">
      <c r="B16" s="45">
        <v>41593</v>
      </c>
      <c r="C16" s="14" t="s">
        <v>172</v>
      </c>
      <c r="E16" s="45">
        <v>41548</v>
      </c>
      <c r="F16" s="45">
        <v>41578</v>
      </c>
      <c r="G16" s="15">
        <f t="shared" si="0"/>
        <v>23</v>
      </c>
    </row>
    <row r="17" spans="2:7" x14ac:dyDescent="0.25">
      <c r="B17" s="47">
        <v>41633</v>
      </c>
      <c r="C17" s="48" t="s">
        <v>173</v>
      </c>
      <c r="E17" s="45">
        <v>41579</v>
      </c>
      <c r="F17" s="45">
        <v>41608</v>
      </c>
      <c r="G17" s="15">
        <f t="shared" si="0"/>
        <v>20</v>
      </c>
    </row>
    <row r="18" spans="2:7" x14ac:dyDescent="0.25">
      <c r="E18" s="47">
        <v>41609</v>
      </c>
      <c r="F18" s="47">
        <v>41639</v>
      </c>
      <c r="G18" s="49">
        <f t="shared" si="0"/>
        <v>21</v>
      </c>
    </row>
    <row r="23" spans="2:7" x14ac:dyDescent="0.25">
      <c r="B23" s="23"/>
    </row>
    <row r="24" spans="2:7" x14ac:dyDescent="0.25">
      <c r="B24" s="23"/>
    </row>
    <row r="25" spans="2:7" x14ac:dyDescent="0.25">
      <c r="B25" s="23"/>
    </row>
    <row r="39" spans="2:2" x14ac:dyDescent="0.25">
      <c r="B39" s="14" t="s">
        <v>328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>
      <selection activeCell="F25" sqref="F25"/>
    </sheetView>
  </sheetViews>
  <sheetFormatPr defaultRowHeight="12.75" x14ac:dyDescent="0.2"/>
  <cols>
    <col min="1" max="1" width="9.125" style="2" bestFit="1" customWidth="1"/>
    <col min="2" max="2" width="13.75" style="17" bestFit="1" customWidth="1"/>
    <col min="3" max="3" width="12" style="17" bestFit="1" customWidth="1"/>
    <col min="4" max="4" width="11.875" style="17" bestFit="1" customWidth="1"/>
    <col min="5" max="5" width="15.25" style="17" bestFit="1" customWidth="1"/>
    <col min="6" max="6" width="15.125" style="17" bestFit="1" customWidth="1"/>
    <col min="7" max="7" width="10.25" style="17" bestFit="1" customWidth="1"/>
    <col min="8" max="8" width="11" style="17" bestFit="1" customWidth="1"/>
    <col min="9" max="9" width="4.625" style="17" bestFit="1" customWidth="1"/>
    <col min="10" max="10" width="7.875" style="17" bestFit="1" customWidth="1"/>
    <col min="11" max="11" width="7.75" style="17" bestFit="1" customWidth="1"/>
    <col min="12" max="12" width="4.625" style="17" bestFit="1" customWidth="1"/>
    <col min="13" max="13" width="10.625" style="17" bestFit="1" customWidth="1"/>
    <col min="14" max="14" width="9.125" style="17" bestFit="1" customWidth="1"/>
    <col min="15" max="15" width="39.625" style="17" customWidth="1"/>
    <col min="16" max="16384" width="9" style="17"/>
  </cols>
  <sheetData>
    <row r="1" spans="1:15" customFormat="1" ht="18.75" x14ac:dyDescent="0.25">
      <c r="A1" s="121" t="s">
        <v>102</v>
      </c>
    </row>
    <row r="2" spans="1:15" customFormat="1" ht="15.75" x14ac:dyDescent="0.25">
      <c r="A2" s="120" t="s">
        <v>97</v>
      </c>
    </row>
    <row r="3" spans="1:15" customFormat="1" ht="15.75" x14ac:dyDescent="0.25">
      <c r="A3" s="120" t="s">
        <v>269</v>
      </c>
    </row>
    <row r="4" spans="1:15" customFormat="1" ht="15.75" x14ac:dyDescent="0.25">
      <c r="A4" s="3"/>
    </row>
    <row r="5" spans="1:15" customFormat="1" ht="15.75" x14ac:dyDescent="0.25">
      <c r="A5" s="3"/>
      <c r="N5" s="22">
        <f>SUM(N7:N46)</f>
        <v>4665.0814675052407</v>
      </c>
    </row>
    <row r="6" spans="1:15" s="64" customFormat="1" x14ac:dyDescent="0.25">
      <c r="A6" s="93" t="s">
        <v>277</v>
      </c>
      <c r="B6" s="55" t="s">
        <v>1</v>
      </c>
      <c r="C6" s="55" t="s">
        <v>2</v>
      </c>
      <c r="D6" s="39" t="s">
        <v>4</v>
      </c>
      <c r="E6" s="39" t="s">
        <v>17</v>
      </c>
      <c r="F6" s="39" t="s">
        <v>8</v>
      </c>
      <c r="G6" s="55" t="s">
        <v>10</v>
      </c>
      <c r="H6" s="55" t="s">
        <v>6</v>
      </c>
      <c r="I6" s="55" t="s">
        <v>103</v>
      </c>
      <c r="J6" s="55" t="s">
        <v>225</v>
      </c>
      <c r="K6" s="55" t="s">
        <v>11</v>
      </c>
      <c r="L6" s="55" t="s">
        <v>15</v>
      </c>
      <c r="M6" s="94" t="s">
        <v>13</v>
      </c>
      <c r="N6" s="55" t="s">
        <v>14</v>
      </c>
      <c r="O6" s="55" t="s">
        <v>271</v>
      </c>
    </row>
    <row r="7" spans="1:15" customFormat="1" ht="15.75" x14ac:dyDescent="0.25">
      <c r="A7" s="119">
        <v>65</v>
      </c>
      <c r="B7" s="114" t="s">
        <v>71</v>
      </c>
      <c r="C7" s="114" t="s">
        <v>75</v>
      </c>
      <c r="D7" s="114" t="s">
        <v>72</v>
      </c>
      <c r="E7" s="114" t="s">
        <v>272</v>
      </c>
      <c r="F7" s="114" t="s">
        <v>273</v>
      </c>
      <c r="G7" s="114" t="s">
        <v>22</v>
      </c>
      <c r="H7" s="117">
        <v>41584</v>
      </c>
      <c r="I7" s="114">
        <v>11</v>
      </c>
      <c r="J7" s="114" t="s">
        <v>224</v>
      </c>
      <c r="K7" s="114" t="s">
        <v>47</v>
      </c>
      <c r="L7" s="114">
        <v>1</v>
      </c>
      <c r="M7" s="118">
        <v>0</v>
      </c>
      <c r="N7" s="118">
        <f>M7*L7</f>
        <v>0</v>
      </c>
      <c r="O7" s="114" t="s">
        <v>270</v>
      </c>
    </row>
    <row r="8" spans="1:15" customFormat="1" ht="15.75" x14ac:dyDescent="0.25">
      <c r="A8" s="119">
        <v>65</v>
      </c>
      <c r="B8" s="114" t="s">
        <v>71</v>
      </c>
      <c r="C8" s="114" t="s">
        <v>75</v>
      </c>
      <c r="D8" s="114" t="s">
        <v>72</v>
      </c>
      <c r="E8" s="114" t="s">
        <v>272</v>
      </c>
      <c r="F8" s="114" t="s">
        <v>274</v>
      </c>
      <c r="G8" s="114" t="s">
        <v>22</v>
      </c>
      <c r="H8" s="117">
        <v>41584</v>
      </c>
      <c r="I8" s="114">
        <v>11</v>
      </c>
      <c r="J8" s="114" t="s">
        <v>224</v>
      </c>
      <c r="K8" s="114" t="s">
        <v>47</v>
      </c>
      <c r="L8" s="114">
        <v>1</v>
      </c>
      <c r="M8" s="118">
        <v>0</v>
      </c>
      <c r="N8" s="118">
        <f t="shared" ref="N8:N25" si="0">M8*L8</f>
        <v>0</v>
      </c>
      <c r="O8" s="114" t="s">
        <v>270</v>
      </c>
    </row>
    <row r="9" spans="1:15" customFormat="1" ht="15.75" x14ac:dyDescent="0.25">
      <c r="A9" s="119">
        <v>99</v>
      </c>
      <c r="B9" s="114" t="s">
        <v>71</v>
      </c>
      <c r="C9" s="114" t="s">
        <v>79</v>
      </c>
      <c r="D9" s="114" t="s">
        <v>74</v>
      </c>
      <c r="E9" s="114" t="s">
        <v>83</v>
      </c>
      <c r="F9" s="114" t="s">
        <v>82</v>
      </c>
      <c r="G9" s="114" t="s">
        <v>22</v>
      </c>
      <c r="H9" s="117">
        <v>41606</v>
      </c>
      <c r="I9" s="114">
        <v>11</v>
      </c>
      <c r="J9" s="114" t="s">
        <v>224</v>
      </c>
      <c r="K9" s="114" t="s">
        <v>47</v>
      </c>
      <c r="L9" s="114">
        <v>1</v>
      </c>
      <c r="M9" s="118">
        <v>0</v>
      </c>
      <c r="N9" s="118">
        <f t="shared" si="0"/>
        <v>0</v>
      </c>
      <c r="O9" s="114" t="s">
        <v>270</v>
      </c>
    </row>
    <row r="10" spans="1:15" customFormat="1" ht="15.75" x14ac:dyDescent="0.25">
      <c r="A10" s="119">
        <v>103</v>
      </c>
      <c r="B10" s="114" t="s">
        <v>71</v>
      </c>
      <c r="C10" s="114" t="s">
        <v>79</v>
      </c>
      <c r="D10" s="114" t="s">
        <v>74</v>
      </c>
      <c r="E10" s="114" t="s">
        <v>84</v>
      </c>
      <c r="F10" s="114" t="s">
        <v>82</v>
      </c>
      <c r="G10" s="114" t="s">
        <v>22</v>
      </c>
      <c r="H10" s="117">
        <v>41606</v>
      </c>
      <c r="I10" s="114">
        <v>11</v>
      </c>
      <c r="J10" s="114" t="s">
        <v>224</v>
      </c>
      <c r="K10" s="114" t="s">
        <v>47</v>
      </c>
      <c r="L10" s="114">
        <v>4</v>
      </c>
      <c r="M10" s="118">
        <v>38.333333333333336</v>
      </c>
      <c r="N10" s="118">
        <f t="shared" si="0"/>
        <v>153.33333333333334</v>
      </c>
      <c r="O10" s="114" t="s">
        <v>276</v>
      </c>
    </row>
    <row r="11" spans="1:15" customFormat="1" ht="15.75" x14ac:dyDescent="0.25">
      <c r="A11" s="119">
        <v>71</v>
      </c>
      <c r="B11" s="114" t="s">
        <v>71</v>
      </c>
      <c r="C11" s="114" t="s">
        <v>75</v>
      </c>
      <c r="D11" s="114" t="s">
        <v>81</v>
      </c>
      <c r="E11" s="114" t="s">
        <v>29</v>
      </c>
      <c r="F11" s="114" t="s">
        <v>155</v>
      </c>
      <c r="G11" s="114" t="s">
        <v>22</v>
      </c>
      <c r="H11" s="117">
        <v>41359</v>
      </c>
      <c r="I11" s="114">
        <v>3</v>
      </c>
      <c r="J11" s="114" t="s">
        <v>221</v>
      </c>
      <c r="K11" s="114" t="s">
        <v>47</v>
      </c>
      <c r="L11" s="114">
        <v>1</v>
      </c>
      <c r="M11" s="118">
        <v>0</v>
      </c>
      <c r="N11" s="118">
        <f t="shared" si="0"/>
        <v>0</v>
      </c>
      <c r="O11" s="114" t="s">
        <v>270</v>
      </c>
    </row>
    <row r="12" spans="1:15" customFormat="1" ht="15.75" x14ac:dyDescent="0.25">
      <c r="A12" s="119">
        <v>71</v>
      </c>
      <c r="B12" s="114" t="s">
        <v>71</v>
      </c>
      <c r="C12" s="114" t="s">
        <v>75</v>
      </c>
      <c r="D12" s="114" t="s">
        <v>81</v>
      </c>
      <c r="E12" s="114" t="s">
        <v>29</v>
      </c>
      <c r="F12" s="114" t="s">
        <v>156</v>
      </c>
      <c r="G12" s="114" t="s">
        <v>22</v>
      </c>
      <c r="H12" s="117">
        <v>41359</v>
      </c>
      <c r="I12" s="114">
        <v>3</v>
      </c>
      <c r="J12" s="114" t="s">
        <v>221</v>
      </c>
      <c r="K12" s="114" t="s">
        <v>47</v>
      </c>
      <c r="L12" s="114">
        <v>1</v>
      </c>
      <c r="M12" s="118">
        <v>0</v>
      </c>
      <c r="N12" s="118">
        <f t="shared" si="0"/>
        <v>0</v>
      </c>
      <c r="O12" s="114" t="s">
        <v>270</v>
      </c>
    </row>
    <row r="13" spans="1:15" customFormat="1" ht="15.75" x14ac:dyDescent="0.25">
      <c r="A13" s="119"/>
      <c r="B13" s="114" t="s">
        <v>71</v>
      </c>
      <c r="C13" s="114" t="s">
        <v>75</v>
      </c>
      <c r="D13" s="114" t="s">
        <v>81</v>
      </c>
      <c r="E13" s="114" t="s">
        <v>85</v>
      </c>
      <c r="F13" s="114" t="s">
        <v>86</v>
      </c>
      <c r="G13" s="114" t="s">
        <v>22</v>
      </c>
      <c r="H13" s="117">
        <v>41359</v>
      </c>
      <c r="I13" s="114">
        <v>3</v>
      </c>
      <c r="J13" s="114" t="s">
        <v>221</v>
      </c>
      <c r="K13" s="114" t="s">
        <v>42</v>
      </c>
      <c r="L13" s="114">
        <v>0</v>
      </c>
      <c r="M13" s="118">
        <v>0</v>
      </c>
      <c r="N13" s="118">
        <f t="shared" si="0"/>
        <v>0</v>
      </c>
      <c r="O13" s="114" t="s">
        <v>282</v>
      </c>
    </row>
    <row r="14" spans="1:15" customFormat="1" ht="15.75" x14ac:dyDescent="0.25">
      <c r="A14" s="119"/>
      <c r="B14" s="114" t="s">
        <v>71</v>
      </c>
      <c r="C14" s="114" t="s">
        <v>75</v>
      </c>
      <c r="D14" s="114" t="s">
        <v>72</v>
      </c>
      <c r="E14" s="114" t="s">
        <v>29</v>
      </c>
      <c r="F14" s="114" t="s">
        <v>77</v>
      </c>
      <c r="G14" s="114" t="s">
        <v>251</v>
      </c>
      <c r="H14" s="117">
        <v>41584</v>
      </c>
      <c r="I14" s="114">
        <v>11</v>
      </c>
      <c r="J14" s="114" t="s">
        <v>224</v>
      </c>
      <c r="K14" s="114" t="s">
        <v>78</v>
      </c>
      <c r="L14" s="114">
        <v>1</v>
      </c>
      <c r="M14" s="118">
        <v>27.808134171907753</v>
      </c>
      <c r="N14" s="118">
        <f t="shared" si="0"/>
        <v>27.808134171907753</v>
      </c>
      <c r="O14" s="114" t="s">
        <v>282</v>
      </c>
    </row>
    <row r="15" spans="1:15" customFormat="1" ht="15.75" x14ac:dyDescent="0.25">
      <c r="A15" s="119">
        <v>113</v>
      </c>
      <c r="B15" s="114" t="s">
        <v>64</v>
      </c>
      <c r="C15" s="114" t="s">
        <v>65</v>
      </c>
      <c r="D15" s="114" t="s">
        <v>66</v>
      </c>
      <c r="E15" s="114" t="s">
        <v>70</v>
      </c>
      <c r="F15" s="114" t="s">
        <v>286</v>
      </c>
      <c r="G15" s="114" t="s">
        <v>22</v>
      </c>
      <c r="H15" s="117">
        <v>41626</v>
      </c>
      <c r="I15" s="114">
        <v>12</v>
      </c>
      <c r="J15" s="114" t="s">
        <v>224</v>
      </c>
      <c r="K15" s="114" t="s">
        <v>36</v>
      </c>
      <c r="L15" s="114">
        <v>2</v>
      </c>
      <c r="M15" s="118">
        <v>208</v>
      </c>
      <c r="N15" s="118">
        <f t="shared" si="0"/>
        <v>416</v>
      </c>
      <c r="O15" s="114" t="s">
        <v>287</v>
      </c>
    </row>
    <row r="16" spans="1:15" customFormat="1" ht="15.75" x14ac:dyDescent="0.25">
      <c r="A16" s="119"/>
      <c r="B16" s="114" t="s">
        <v>64</v>
      </c>
      <c r="C16" s="114" t="s">
        <v>65</v>
      </c>
      <c r="D16" s="114" t="s">
        <v>66</v>
      </c>
      <c r="E16" s="114" t="s">
        <v>24</v>
      </c>
      <c r="F16" s="114" t="s">
        <v>28</v>
      </c>
      <c r="G16" s="114" t="s">
        <v>251</v>
      </c>
      <c r="H16" s="117">
        <v>41466</v>
      </c>
      <c r="I16" s="114">
        <v>7</v>
      </c>
      <c r="J16" s="114" t="s">
        <v>223</v>
      </c>
      <c r="K16" s="114" t="s">
        <v>12</v>
      </c>
      <c r="L16" s="114"/>
      <c r="M16" s="118">
        <v>13.275653996900919</v>
      </c>
      <c r="N16" s="118">
        <f t="shared" si="0"/>
        <v>0</v>
      </c>
      <c r="O16" s="114" t="s">
        <v>282</v>
      </c>
    </row>
    <row r="17" spans="1:15" customFormat="1" ht="15.75" x14ac:dyDescent="0.25">
      <c r="A17" s="119"/>
      <c r="B17" s="114" t="s">
        <v>64</v>
      </c>
      <c r="C17" s="114" t="s">
        <v>65</v>
      </c>
      <c r="D17" s="114" t="s">
        <v>66</v>
      </c>
      <c r="E17" s="114" t="s">
        <v>67</v>
      </c>
      <c r="F17" s="114" t="s">
        <v>43</v>
      </c>
      <c r="G17" s="114" t="s">
        <v>22</v>
      </c>
      <c r="H17" s="117">
        <v>41456</v>
      </c>
      <c r="I17" s="114">
        <v>7</v>
      </c>
      <c r="J17" s="114" t="s">
        <v>223</v>
      </c>
      <c r="K17" s="114" t="s">
        <v>23</v>
      </c>
      <c r="L17" s="114">
        <v>40</v>
      </c>
      <c r="M17" s="118">
        <v>4.6900000000000004</v>
      </c>
      <c r="N17" s="118">
        <f t="shared" si="0"/>
        <v>187.60000000000002</v>
      </c>
      <c r="O17" s="114" t="s">
        <v>282</v>
      </c>
    </row>
    <row r="18" spans="1:15" customFormat="1" ht="15.75" x14ac:dyDescent="0.25">
      <c r="A18" s="119"/>
      <c r="B18" s="114" t="s">
        <v>64</v>
      </c>
      <c r="C18" s="114" t="s">
        <v>65</v>
      </c>
      <c r="D18" s="114" t="s">
        <v>66</v>
      </c>
      <c r="E18" s="114" t="s">
        <v>68</v>
      </c>
      <c r="F18" s="114" t="s">
        <v>43</v>
      </c>
      <c r="G18" s="114" t="s">
        <v>22</v>
      </c>
      <c r="H18" s="117">
        <v>41456</v>
      </c>
      <c r="I18" s="114">
        <v>7</v>
      </c>
      <c r="J18" s="114" t="s">
        <v>223</v>
      </c>
      <c r="K18" s="114" t="s">
        <v>23</v>
      </c>
      <c r="L18" s="114">
        <v>100</v>
      </c>
      <c r="M18" s="118">
        <v>5.39</v>
      </c>
      <c r="N18" s="118">
        <f t="shared" si="0"/>
        <v>539</v>
      </c>
      <c r="O18" s="114" t="s">
        <v>282</v>
      </c>
    </row>
    <row r="19" spans="1:15" customFormat="1" ht="15.75" x14ac:dyDescent="0.25">
      <c r="A19" s="119"/>
      <c r="B19" s="114" t="s">
        <v>64</v>
      </c>
      <c r="C19" s="114" t="s">
        <v>65</v>
      </c>
      <c r="D19" s="114" t="s">
        <v>66</v>
      </c>
      <c r="E19" s="114" t="s">
        <v>35</v>
      </c>
      <c r="F19" s="114" t="s">
        <v>88</v>
      </c>
      <c r="G19" s="114" t="s">
        <v>22</v>
      </c>
      <c r="H19" s="117">
        <v>41627</v>
      </c>
      <c r="I19" s="114">
        <v>12</v>
      </c>
      <c r="J19" s="114" t="s">
        <v>224</v>
      </c>
      <c r="K19" s="114" t="s">
        <v>36</v>
      </c>
      <c r="L19" s="114">
        <v>2</v>
      </c>
      <c r="M19" s="118">
        <v>208</v>
      </c>
      <c r="N19" s="118">
        <f t="shared" si="0"/>
        <v>416</v>
      </c>
      <c r="O19" s="114" t="s">
        <v>282</v>
      </c>
    </row>
    <row r="20" spans="1:15" customFormat="1" ht="15.75" x14ac:dyDescent="0.25">
      <c r="A20" s="119"/>
      <c r="B20" s="114" t="s">
        <v>64</v>
      </c>
      <c r="C20" s="114" t="s">
        <v>65</v>
      </c>
      <c r="D20" s="114" t="s">
        <v>66</v>
      </c>
      <c r="E20" s="114" t="s">
        <v>37</v>
      </c>
      <c r="F20" s="114" t="s">
        <v>90</v>
      </c>
      <c r="G20" s="114" t="s">
        <v>22</v>
      </c>
      <c r="H20" s="117">
        <v>41626</v>
      </c>
      <c r="I20" s="114">
        <v>12</v>
      </c>
      <c r="J20" s="114" t="s">
        <v>224</v>
      </c>
      <c r="K20" s="114" t="s">
        <v>47</v>
      </c>
      <c r="L20" s="114">
        <v>1</v>
      </c>
      <c r="M20" s="118">
        <v>353.96</v>
      </c>
      <c r="N20" s="118">
        <f t="shared" si="0"/>
        <v>353.96</v>
      </c>
      <c r="O20" s="114" t="s">
        <v>282</v>
      </c>
    </row>
    <row r="21" spans="1:15" customFormat="1" ht="15.75" x14ac:dyDescent="0.25">
      <c r="A21" s="119"/>
      <c r="B21" s="114" t="s">
        <v>64</v>
      </c>
      <c r="C21" s="114" t="s">
        <v>65</v>
      </c>
      <c r="D21" s="114" t="s">
        <v>66</v>
      </c>
      <c r="E21" s="114" t="s">
        <v>37</v>
      </c>
      <c r="F21" s="114" t="s">
        <v>91</v>
      </c>
      <c r="G21" s="114" t="s">
        <v>22</v>
      </c>
      <c r="H21" s="117">
        <v>41627</v>
      </c>
      <c r="I21" s="114">
        <v>12</v>
      </c>
      <c r="J21" s="114" t="s">
        <v>224</v>
      </c>
      <c r="K21" s="114" t="s">
        <v>47</v>
      </c>
      <c r="L21" s="114">
        <v>1</v>
      </c>
      <c r="M21" s="118">
        <v>353.96</v>
      </c>
      <c r="N21" s="118">
        <f t="shared" si="0"/>
        <v>353.96</v>
      </c>
      <c r="O21" s="114" t="s">
        <v>282</v>
      </c>
    </row>
    <row r="22" spans="1:15" customFormat="1" ht="15.75" x14ac:dyDescent="0.25">
      <c r="A22" s="119"/>
      <c r="B22" s="114" t="s">
        <v>64</v>
      </c>
      <c r="C22" s="114" t="s">
        <v>65</v>
      </c>
      <c r="D22" s="114" t="s">
        <v>66</v>
      </c>
      <c r="E22" s="114" t="s">
        <v>37</v>
      </c>
      <c r="F22" s="114" t="s">
        <v>87</v>
      </c>
      <c r="G22" s="114" t="s">
        <v>22</v>
      </c>
      <c r="H22" s="117">
        <v>41627</v>
      </c>
      <c r="I22" s="114">
        <v>12</v>
      </c>
      <c r="J22" s="114" t="s">
        <v>224</v>
      </c>
      <c r="K22" s="114" t="s">
        <v>47</v>
      </c>
      <c r="L22" s="114">
        <v>1</v>
      </c>
      <c r="M22" s="118">
        <v>724.5</v>
      </c>
      <c r="N22" s="118">
        <f t="shared" si="0"/>
        <v>724.5</v>
      </c>
      <c r="O22" s="114" t="s">
        <v>282</v>
      </c>
    </row>
    <row r="23" spans="1:15" customFormat="1" ht="15.75" x14ac:dyDescent="0.25">
      <c r="A23" s="119">
        <v>113</v>
      </c>
      <c r="B23" s="114" t="s">
        <v>64</v>
      </c>
      <c r="C23" s="114" t="s">
        <v>65</v>
      </c>
      <c r="D23" s="114" t="s">
        <v>66</v>
      </c>
      <c r="E23" s="114" t="s">
        <v>70</v>
      </c>
      <c r="F23" s="114" t="s">
        <v>289</v>
      </c>
      <c r="G23" s="114" t="s">
        <v>22</v>
      </c>
      <c r="H23" s="117">
        <v>41627</v>
      </c>
      <c r="I23" s="114">
        <v>12</v>
      </c>
      <c r="J23" s="114" t="s">
        <v>224</v>
      </c>
      <c r="K23" s="114" t="s">
        <v>47</v>
      </c>
      <c r="L23" s="114">
        <v>1</v>
      </c>
      <c r="M23" s="118">
        <v>724.5</v>
      </c>
      <c r="N23" s="118">
        <f t="shared" si="0"/>
        <v>724.5</v>
      </c>
      <c r="O23" s="114" t="s">
        <v>287</v>
      </c>
    </row>
    <row r="24" spans="1:15" customFormat="1" ht="15.75" x14ac:dyDescent="0.25">
      <c r="A24" s="119">
        <v>113</v>
      </c>
      <c r="B24" s="114" t="s">
        <v>64</v>
      </c>
      <c r="C24" s="114" t="s">
        <v>65</v>
      </c>
      <c r="D24" s="114" t="s">
        <v>66</v>
      </c>
      <c r="E24" s="114" t="s">
        <v>70</v>
      </c>
      <c r="F24" s="114" t="s">
        <v>288</v>
      </c>
      <c r="G24" s="114" t="s">
        <v>22</v>
      </c>
      <c r="H24" s="117">
        <v>41627</v>
      </c>
      <c r="I24" s="114">
        <v>12</v>
      </c>
      <c r="J24" s="114" t="s">
        <v>224</v>
      </c>
      <c r="K24" s="114" t="s">
        <v>47</v>
      </c>
      <c r="L24" s="114">
        <v>1</v>
      </c>
      <c r="M24" s="118">
        <v>707.92</v>
      </c>
      <c r="N24" s="118">
        <f t="shared" si="0"/>
        <v>707.92</v>
      </c>
      <c r="O24" s="114" t="s">
        <v>287</v>
      </c>
    </row>
    <row r="25" spans="1:15" customFormat="1" ht="15.75" x14ac:dyDescent="0.25">
      <c r="A25" s="119">
        <v>118</v>
      </c>
      <c r="B25" s="114" t="s">
        <v>64</v>
      </c>
      <c r="C25" s="114" t="s">
        <v>65</v>
      </c>
      <c r="D25" s="114" t="s">
        <v>66</v>
      </c>
      <c r="E25" s="114" t="s">
        <v>7</v>
      </c>
      <c r="F25" s="114" t="s">
        <v>33</v>
      </c>
      <c r="G25" s="114" t="s">
        <v>22</v>
      </c>
      <c r="H25" s="114">
        <v>41465</v>
      </c>
      <c r="I25" s="114">
        <v>7</v>
      </c>
      <c r="J25" s="114" t="s">
        <v>223</v>
      </c>
      <c r="K25" s="114" t="s">
        <v>42</v>
      </c>
      <c r="L25" s="114">
        <v>1</v>
      </c>
      <c r="M25" s="118">
        <v>60.5</v>
      </c>
      <c r="N25" s="118">
        <f t="shared" si="0"/>
        <v>60.5</v>
      </c>
      <c r="O25" s="114" t="s">
        <v>293</v>
      </c>
    </row>
    <row r="26" spans="1:15" customFormat="1" ht="15.75" x14ac:dyDescent="0.25">
      <c r="A26" s="119">
        <v>56</v>
      </c>
      <c r="B26" s="114" t="s">
        <v>64</v>
      </c>
      <c r="C26" s="114" t="s">
        <v>65</v>
      </c>
      <c r="D26" s="114" t="s">
        <v>66</v>
      </c>
      <c r="E26" s="114" t="s">
        <v>152</v>
      </c>
      <c r="F26" s="114" t="s">
        <v>153</v>
      </c>
      <c r="G26" s="114" t="s">
        <v>22</v>
      </c>
      <c r="H26" s="114">
        <v>41330</v>
      </c>
      <c r="I26" s="114">
        <v>2</v>
      </c>
      <c r="J26" s="114" t="s">
        <v>221</v>
      </c>
      <c r="K26" s="114" t="s">
        <v>47</v>
      </c>
      <c r="L26" s="114">
        <v>1</v>
      </c>
      <c r="M26" s="118">
        <v>742.94</v>
      </c>
      <c r="N26" s="118">
        <v>0</v>
      </c>
      <c r="O26" s="114" t="s">
        <v>296</v>
      </c>
    </row>
    <row r="27" spans="1:15" customFormat="1" ht="15.75" x14ac:dyDescent="0.25">
      <c r="A27" s="119">
        <v>58</v>
      </c>
      <c r="B27" s="114" t="s">
        <v>64</v>
      </c>
      <c r="C27" s="114" t="s">
        <v>65</v>
      </c>
      <c r="D27" s="114" t="s">
        <v>66</v>
      </c>
      <c r="E27" s="114" t="s">
        <v>7</v>
      </c>
      <c r="F27" s="114" t="s">
        <v>154</v>
      </c>
      <c r="G27" s="114" t="s">
        <v>22</v>
      </c>
      <c r="H27" s="114">
        <v>41330</v>
      </c>
      <c r="I27" s="114">
        <v>2</v>
      </c>
      <c r="J27" s="114" t="s">
        <v>221</v>
      </c>
      <c r="K27" s="114" t="s">
        <v>47</v>
      </c>
      <c r="L27" s="114">
        <v>1</v>
      </c>
      <c r="M27" s="118">
        <v>1101.94</v>
      </c>
      <c r="N27" s="118">
        <v>0</v>
      </c>
      <c r="O27" s="114" t="s">
        <v>296</v>
      </c>
    </row>
    <row r="28" spans="1:15" customFormat="1" ht="15.75" x14ac:dyDescent="0.25">
      <c r="A28" s="119"/>
      <c r="B28" s="114" t="s">
        <v>0</v>
      </c>
      <c r="C28" s="114" t="s">
        <v>3</v>
      </c>
      <c r="D28" s="114" t="s">
        <v>5</v>
      </c>
      <c r="E28" s="114" t="s">
        <v>157</v>
      </c>
      <c r="F28" s="114" t="s">
        <v>179</v>
      </c>
      <c r="G28" s="114" t="s">
        <v>32</v>
      </c>
      <c r="H28" s="114">
        <v>41661</v>
      </c>
      <c r="I28" s="114">
        <v>2014</v>
      </c>
      <c r="J28" s="114"/>
      <c r="K28" s="114" t="s">
        <v>12</v>
      </c>
      <c r="L28" s="114">
        <v>1</v>
      </c>
      <c r="M28" s="118">
        <v>500</v>
      </c>
      <c r="N28" s="118">
        <v>0</v>
      </c>
      <c r="O28" s="114" t="s">
        <v>297</v>
      </c>
    </row>
    <row r="29" spans="1:15" customFormat="1" ht="15.75" x14ac:dyDescent="0.25">
      <c r="A29" s="119">
        <v>6</v>
      </c>
      <c r="B29" s="114" t="s">
        <v>18</v>
      </c>
      <c r="C29" s="114" t="s">
        <v>21</v>
      </c>
      <c r="D29" s="114" t="s">
        <v>25</v>
      </c>
      <c r="E29" s="114" t="s">
        <v>7</v>
      </c>
      <c r="F29" s="114" t="s">
        <v>300</v>
      </c>
      <c r="G29" s="114" t="s">
        <v>251</v>
      </c>
      <c r="H29" s="114">
        <v>41486</v>
      </c>
      <c r="I29" s="114">
        <v>7</v>
      </c>
      <c r="J29" s="114" t="s">
        <v>223</v>
      </c>
      <c r="K29" s="114" t="s">
        <v>12</v>
      </c>
      <c r="L29" s="114">
        <v>0</v>
      </c>
      <c r="M29" s="118">
        <v>39.495615714155498</v>
      </c>
      <c r="N29" s="118">
        <v>0</v>
      </c>
      <c r="O29" s="114" t="s">
        <v>208</v>
      </c>
    </row>
    <row r="30" spans="1:15" customFormat="1" ht="15.75" x14ac:dyDescent="0.25">
      <c r="A30" s="119">
        <v>86</v>
      </c>
      <c r="B30" s="114"/>
      <c r="C30" s="114"/>
      <c r="D30" s="114"/>
      <c r="E30" s="114" t="s">
        <v>70</v>
      </c>
      <c r="F30" s="114" t="s">
        <v>141</v>
      </c>
      <c r="G30" s="114" t="s">
        <v>251</v>
      </c>
      <c r="H30" s="114">
        <v>41466</v>
      </c>
      <c r="I30" s="114">
        <v>7</v>
      </c>
      <c r="J30" s="114" t="s">
        <v>223</v>
      </c>
      <c r="K30" s="114" t="s">
        <v>12</v>
      </c>
      <c r="L30" s="114">
        <v>8.5</v>
      </c>
      <c r="M30" s="118">
        <v>0</v>
      </c>
      <c r="N30" s="118">
        <v>0</v>
      </c>
      <c r="O30" s="114" t="s">
        <v>302</v>
      </c>
    </row>
    <row r="31" spans="1:15" customFormat="1" ht="15.75" x14ac:dyDescent="0.25">
      <c r="A31" s="119">
        <v>86</v>
      </c>
      <c r="B31" s="114"/>
      <c r="C31" s="114"/>
      <c r="D31" s="114"/>
      <c r="E31" s="114" t="s">
        <v>206</v>
      </c>
      <c r="F31" s="114" t="s">
        <v>141</v>
      </c>
      <c r="G31" s="114" t="s">
        <v>32</v>
      </c>
      <c r="H31" s="114">
        <v>41627</v>
      </c>
      <c r="I31" s="114">
        <v>12</v>
      </c>
      <c r="J31" s="114" t="s">
        <v>224</v>
      </c>
      <c r="K31" s="114" t="s">
        <v>12</v>
      </c>
      <c r="L31" s="114">
        <v>8</v>
      </c>
      <c r="M31" s="118">
        <v>0</v>
      </c>
      <c r="N31" s="118">
        <v>0</v>
      </c>
      <c r="O31" s="114" t="s">
        <v>301</v>
      </c>
    </row>
    <row r="32" spans="1:15" customFormat="1" ht="15.75" x14ac:dyDescent="0.25">
      <c r="A32" s="119">
        <v>85</v>
      </c>
      <c r="B32" s="114"/>
      <c r="C32" s="114"/>
      <c r="D32" s="114" t="s">
        <v>116</v>
      </c>
      <c r="E32" s="114" t="s">
        <v>138</v>
      </c>
      <c r="F32" s="114"/>
      <c r="G32" s="114" t="s">
        <v>251</v>
      </c>
      <c r="H32" s="114">
        <v>41577</v>
      </c>
      <c r="I32" s="114">
        <v>10</v>
      </c>
      <c r="J32" s="114" t="s">
        <v>224</v>
      </c>
      <c r="K32" s="114" t="s">
        <v>12</v>
      </c>
      <c r="L32" s="114">
        <v>0.66666666666666663</v>
      </c>
      <c r="M32" s="118">
        <v>0</v>
      </c>
      <c r="N32" s="118">
        <v>0</v>
      </c>
      <c r="O32" s="114" t="s">
        <v>302</v>
      </c>
    </row>
    <row r="33" spans="1:15" customFormat="1" ht="15.75" x14ac:dyDescent="0.25">
      <c r="A33" s="119">
        <v>85</v>
      </c>
      <c r="B33" s="114"/>
      <c r="C33" s="114"/>
      <c r="D33" s="114" t="s">
        <v>115</v>
      </c>
      <c r="E33" s="114" t="s">
        <v>138</v>
      </c>
      <c r="F33" s="114"/>
      <c r="G33" s="114" t="s">
        <v>251</v>
      </c>
      <c r="H33" s="114">
        <v>41577</v>
      </c>
      <c r="I33" s="114">
        <v>10</v>
      </c>
      <c r="J33" s="114" t="s">
        <v>224</v>
      </c>
      <c r="K33" s="114" t="s">
        <v>12</v>
      </c>
      <c r="L33" s="114">
        <v>0.66666666666666663</v>
      </c>
      <c r="M33" s="118">
        <v>0</v>
      </c>
      <c r="N33" s="118">
        <v>0</v>
      </c>
      <c r="O33" s="114" t="s">
        <v>302</v>
      </c>
    </row>
    <row r="34" spans="1:15" customFormat="1" ht="15.75" x14ac:dyDescent="0.25">
      <c r="A34" s="119">
        <v>85</v>
      </c>
      <c r="B34" s="114"/>
      <c r="C34" s="114"/>
      <c r="D34" s="114"/>
      <c r="E34" s="114" t="s">
        <v>138</v>
      </c>
      <c r="F34" s="114" t="s">
        <v>139</v>
      </c>
      <c r="G34" s="114" t="s">
        <v>251</v>
      </c>
      <c r="H34" s="114">
        <v>41582</v>
      </c>
      <c r="I34" s="114">
        <v>11</v>
      </c>
      <c r="J34" s="114" t="s">
        <v>224</v>
      </c>
      <c r="K34" s="114" t="s">
        <v>12</v>
      </c>
      <c r="L34" s="114">
        <v>3</v>
      </c>
      <c r="M34" s="118">
        <v>0</v>
      </c>
      <c r="N34" s="118">
        <v>0</v>
      </c>
      <c r="O34" s="114" t="s">
        <v>302</v>
      </c>
    </row>
    <row r="35" spans="1:15" customFormat="1" ht="15.75" x14ac:dyDescent="0.25">
      <c r="A35" s="119">
        <v>82</v>
      </c>
      <c r="B35" s="114"/>
      <c r="C35" s="114"/>
      <c r="D35" s="114"/>
      <c r="E35" s="114" t="s">
        <v>114</v>
      </c>
      <c r="F35" s="114" t="s">
        <v>121</v>
      </c>
      <c r="G35" s="114" t="s">
        <v>251</v>
      </c>
      <c r="H35" s="114">
        <v>41582</v>
      </c>
      <c r="I35" s="114">
        <v>11</v>
      </c>
      <c r="J35" s="114" t="s">
        <v>224</v>
      </c>
      <c r="K35" s="114" t="s">
        <v>12</v>
      </c>
      <c r="L35" s="114">
        <v>3</v>
      </c>
      <c r="M35" s="118">
        <v>11.044025157232705</v>
      </c>
      <c r="N35" s="118">
        <v>0</v>
      </c>
      <c r="O35" s="114" t="s">
        <v>302</v>
      </c>
    </row>
    <row r="36" spans="1:15" customFormat="1" ht="15.75" x14ac:dyDescent="0.25">
      <c r="A36" s="119">
        <v>83</v>
      </c>
      <c r="B36" s="114"/>
      <c r="C36" s="114"/>
      <c r="D36" s="114"/>
      <c r="E36" s="114" t="s">
        <v>7</v>
      </c>
      <c r="F36" s="114" t="s">
        <v>110</v>
      </c>
      <c r="G36" s="114" t="s">
        <v>251</v>
      </c>
      <c r="H36" s="114">
        <v>41359</v>
      </c>
      <c r="I36" s="114">
        <v>3</v>
      </c>
      <c r="J36" s="114" t="s">
        <v>221</v>
      </c>
      <c r="K36" s="114" t="s">
        <v>12</v>
      </c>
      <c r="L36" s="114">
        <v>10</v>
      </c>
      <c r="M36" s="118">
        <v>45.41995807127882</v>
      </c>
      <c r="N36" s="118">
        <v>0</v>
      </c>
      <c r="O36" s="114" t="s">
        <v>302</v>
      </c>
    </row>
    <row r="37" spans="1:15" customFormat="1" ht="15.75" x14ac:dyDescent="0.25">
      <c r="A37" s="119"/>
      <c r="B37" s="114"/>
      <c r="C37" s="114"/>
      <c r="D37" s="114"/>
      <c r="E37" s="114"/>
      <c r="F37" s="114" t="s">
        <v>70</v>
      </c>
      <c r="G37" s="114" t="s">
        <v>69</v>
      </c>
      <c r="H37" s="114" t="s">
        <v>251</v>
      </c>
      <c r="I37" s="114">
        <v>41485</v>
      </c>
      <c r="J37" s="114">
        <v>7</v>
      </c>
      <c r="K37" s="114" t="s">
        <v>223</v>
      </c>
      <c r="L37" s="114" t="s">
        <v>12</v>
      </c>
      <c r="M37" s="118">
        <v>2.0052777777777777</v>
      </c>
      <c r="N37" s="118">
        <v>0</v>
      </c>
      <c r="O37" s="114" t="s">
        <v>303</v>
      </c>
    </row>
    <row r="38" spans="1:15" customFormat="1" ht="15.75" x14ac:dyDescent="0.25">
      <c r="A38" s="119"/>
      <c r="B38" s="114"/>
      <c r="C38" s="114"/>
      <c r="D38" s="114"/>
      <c r="E38" s="114"/>
      <c r="F38" s="114" t="s">
        <v>70</v>
      </c>
      <c r="G38" s="114" t="s">
        <v>89</v>
      </c>
      <c r="H38" s="114" t="s">
        <v>251</v>
      </c>
      <c r="I38" s="114">
        <v>41485</v>
      </c>
      <c r="J38" s="114">
        <v>7</v>
      </c>
      <c r="K38" s="114" t="s">
        <v>223</v>
      </c>
      <c r="L38" s="114" t="s">
        <v>12</v>
      </c>
      <c r="M38" s="118">
        <v>0</v>
      </c>
      <c r="N38" s="118">
        <v>0</v>
      </c>
      <c r="O38" s="114" t="s">
        <v>303</v>
      </c>
    </row>
    <row r="39" spans="1:15" customFormat="1" ht="15.75" x14ac:dyDescent="0.25">
      <c r="A39" s="119">
        <v>84</v>
      </c>
      <c r="B39" s="114" t="s">
        <v>328</v>
      </c>
      <c r="C39" s="114" t="s">
        <v>61</v>
      </c>
      <c r="D39" s="114" t="s">
        <v>62</v>
      </c>
      <c r="E39" s="114" t="s">
        <v>24</v>
      </c>
      <c r="F39" s="114" t="s">
        <v>28</v>
      </c>
      <c r="G39" s="114" t="s">
        <v>251</v>
      </c>
      <c r="H39" s="114">
        <v>41359</v>
      </c>
      <c r="I39" s="114">
        <v>3</v>
      </c>
      <c r="J39" s="114" t="s">
        <v>221</v>
      </c>
      <c r="K39" s="114" t="s">
        <v>12</v>
      </c>
      <c r="L39" s="114">
        <v>1.08</v>
      </c>
      <c r="M39" s="118">
        <v>15.267002096436057</v>
      </c>
      <c r="N39" s="118">
        <v>0</v>
      </c>
      <c r="O39" s="114" t="s">
        <v>303</v>
      </c>
    </row>
    <row r="40" spans="1:15" customFormat="1" ht="15.75" x14ac:dyDescent="0.25">
      <c r="A40" s="119">
        <v>83</v>
      </c>
      <c r="B40" s="114" t="s">
        <v>18</v>
      </c>
      <c r="C40" s="114" t="s">
        <v>0</v>
      </c>
      <c r="D40" s="114" t="s">
        <v>26</v>
      </c>
      <c r="E40" s="114" t="s">
        <v>7</v>
      </c>
      <c r="F40" s="114" t="s">
        <v>194</v>
      </c>
      <c r="G40" s="114" t="s">
        <v>251</v>
      </c>
      <c r="H40" s="114">
        <v>41376</v>
      </c>
      <c r="I40" s="114">
        <v>4</v>
      </c>
      <c r="J40" s="114" t="s">
        <v>222</v>
      </c>
      <c r="K40" s="114" t="s">
        <v>12</v>
      </c>
      <c r="L40" s="114">
        <v>1.5</v>
      </c>
      <c r="M40" s="118">
        <v>41.290870973889838</v>
      </c>
      <c r="N40" s="118">
        <v>0</v>
      </c>
      <c r="O40" s="114" t="s">
        <v>303</v>
      </c>
    </row>
    <row r="41" spans="1:15" customFormat="1" ht="15.75" x14ac:dyDescent="0.25">
      <c r="A41" s="119">
        <v>83</v>
      </c>
      <c r="B41" s="114" t="s">
        <v>18</v>
      </c>
      <c r="C41" s="114" t="s">
        <v>0</v>
      </c>
      <c r="D41" s="114" t="s">
        <v>40</v>
      </c>
      <c r="E41" s="114" t="s">
        <v>7</v>
      </c>
      <c r="F41" s="114" t="s">
        <v>28</v>
      </c>
      <c r="G41" s="114" t="s">
        <v>251</v>
      </c>
      <c r="H41" s="114">
        <v>41466</v>
      </c>
      <c r="I41" s="114">
        <v>7</v>
      </c>
      <c r="J41" s="114" t="s">
        <v>223</v>
      </c>
      <c r="K41" s="114" t="s">
        <v>12</v>
      </c>
      <c r="L41" s="114">
        <v>0.6166666666666667</v>
      </c>
      <c r="M41" s="118">
        <v>39.495615714155498</v>
      </c>
      <c r="N41" s="118">
        <v>0</v>
      </c>
      <c r="O41" s="114" t="s">
        <v>303</v>
      </c>
    </row>
    <row r="42" spans="1:15" customFormat="1" ht="15.75" x14ac:dyDescent="0.25">
      <c r="A42" s="119">
        <v>83</v>
      </c>
      <c r="B42" s="114" t="s">
        <v>18</v>
      </c>
      <c r="C42" s="114" t="s">
        <v>0</v>
      </c>
      <c r="D42" s="114" t="s">
        <v>40</v>
      </c>
      <c r="E42" s="114" t="s">
        <v>7</v>
      </c>
      <c r="F42" s="114" t="s">
        <v>41</v>
      </c>
      <c r="G42" s="114" t="s">
        <v>251</v>
      </c>
      <c r="H42" s="114">
        <v>41480</v>
      </c>
      <c r="I42" s="114">
        <v>7</v>
      </c>
      <c r="J42" s="114" t="s">
        <v>223</v>
      </c>
      <c r="K42" s="114" t="s">
        <v>12</v>
      </c>
      <c r="L42" s="114">
        <v>0</v>
      </c>
      <c r="M42" s="118">
        <v>39.495615714155498</v>
      </c>
      <c r="N42" s="118">
        <v>0</v>
      </c>
      <c r="O42" s="114" t="s">
        <v>303</v>
      </c>
    </row>
    <row r="43" spans="1:15" customFormat="1" ht="15.75" x14ac:dyDescent="0.25">
      <c r="A43" s="119">
        <v>18</v>
      </c>
      <c r="B43" s="114" t="s">
        <v>18</v>
      </c>
      <c r="C43" s="114" t="s">
        <v>0</v>
      </c>
      <c r="D43" s="114" t="s">
        <v>38</v>
      </c>
      <c r="E43" s="114" t="s">
        <v>7</v>
      </c>
      <c r="F43" s="114" t="s">
        <v>192</v>
      </c>
      <c r="G43" s="114" t="s">
        <v>251</v>
      </c>
      <c r="H43" s="114">
        <v>41521</v>
      </c>
      <c r="I43" s="114">
        <v>9</v>
      </c>
      <c r="J43" s="114" t="s">
        <v>223</v>
      </c>
      <c r="K43" s="114" t="s">
        <v>12</v>
      </c>
      <c r="L43" s="114">
        <v>0.75</v>
      </c>
      <c r="M43" s="118">
        <v>0</v>
      </c>
      <c r="N43" s="118">
        <v>0</v>
      </c>
      <c r="O43" s="114" t="s">
        <v>303</v>
      </c>
    </row>
    <row r="44" spans="1:15" customFormat="1" ht="15.75" x14ac:dyDescent="0.25">
      <c r="A44" s="119">
        <v>19</v>
      </c>
      <c r="B44" s="114" t="s">
        <v>18</v>
      </c>
      <c r="C44" s="114" t="s">
        <v>0</v>
      </c>
      <c r="D44" s="114" t="s">
        <v>39</v>
      </c>
      <c r="E44" s="114" t="s">
        <v>7</v>
      </c>
      <c r="F44" s="114" t="s">
        <v>193</v>
      </c>
      <c r="G44" s="114" t="s">
        <v>251</v>
      </c>
      <c r="H44" s="114">
        <v>41521</v>
      </c>
      <c r="I44" s="114">
        <v>9</v>
      </c>
      <c r="J44" s="114" t="s">
        <v>223</v>
      </c>
      <c r="K44" s="114" t="s">
        <v>12</v>
      </c>
      <c r="L44" s="114">
        <v>0.6333333333333333</v>
      </c>
      <c r="M44" s="118">
        <v>0</v>
      </c>
      <c r="N44" s="118">
        <v>0</v>
      </c>
      <c r="O44" s="114" t="s">
        <v>303</v>
      </c>
    </row>
    <row r="45" spans="1:15" customFormat="1" ht="15.75" x14ac:dyDescent="0.25">
      <c r="A45" s="119">
        <v>6</v>
      </c>
      <c r="B45" s="114" t="s">
        <v>18</v>
      </c>
      <c r="C45" s="114" t="s">
        <v>21</v>
      </c>
      <c r="D45" s="114" t="s">
        <v>25</v>
      </c>
      <c r="E45" s="114" t="s">
        <v>114</v>
      </c>
      <c r="F45" s="114" t="s">
        <v>183</v>
      </c>
      <c r="G45" s="114" t="s">
        <v>251</v>
      </c>
      <c r="H45" s="114">
        <v>41501</v>
      </c>
      <c r="I45" s="114">
        <v>8</v>
      </c>
      <c r="J45" s="114" t="s">
        <v>223</v>
      </c>
      <c r="K45" s="114" t="s">
        <v>12</v>
      </c>
      <c r="L45" s="114">
        <v>2</v>
      </c>
      <c r="M45" s="118">
        <v>10.040022870211549</v>
      </c>
      <c r="N45" s="118">
        <v>0</v>
      </c>
      <c r="O45" s="114" t="s">
        <v>303</v>
      </c>
    </row>
    <row r="46" spans="1:15" customFormat="1" ht="15.75" x14ac:dyDescent="0.25">
      <c r="A46" s="119">
        <v>6</v>
      </c>
      <c r="B46" s="114" t="s">
        <v>18</v>
      </c>
      <c r="C46" s="114" t="s">
        <v>21</v>
      </c>
      <c r="D46" s="114" t="s">
        <v>25</v>
      </c>
      <c r="E46" s="114" t="s">
        <v>24</v>
      </c>
      <c r="F46" s="114" t="s">
        <v>183</v>
      </c>
      <c r="G46" s="114" t="s">
        <v>251</v>
      </c>
      <c r="H46" s="114">
        <v>41501</v>
      </c>
      <c r="I46" s="114">
        <v>8</v>
      </c>
      <c r="J46" s="114" t="s">
        <v>223</v>
      </c>
      <c r="K46" s="114" t="s">
        <v>12</v>
      </c>
      <c r="L46" s="114"/>
      <c r="M46" s="118">
        <v>13.879092814941872</v>
      </c>
      <c r="N46" s="118">
        <v>0</v>
      </c>
      <c r="O46" s="114" t="s">
        <v>303</v>
      </c>
    </row>
    <row r="47" spans="1:15" customFormat="1" ht="15.75" x14ac:dyDescent="0.25">
      <c r="A47" s="119">
        <v>13</v>
      </c>
      <c r="B47" s="114" t="s">
        <v>18</v>
      </c>
      <c r="C47" s="114" t="s">
        <v>0</v>
      </c>
      <c r="D47" s="114" t="s">
        <v>31</v>
      </c>
      <c r="E47" s="114" t="s">
        <v>159</v>
      </c>
      <c r="F47" s="114" t="s">
        <v>190</v>
      </c>
      <c r="G47" s="114" t="s">
        <v>22</v>
      </c>
      <c r="H47" s="114">
        <v>41575</v>
      </c>
      <c r="I47" s="114">
        <v>10</v>
      </c>
      <c r="J47" s="114" t="s">
        <v>224</v>
      </c>
      <c r="K47" s="114" t="s">
        <v>23</v>
      </c>
      <c r="L47" s="114">
        <v>1</v>
      </c>
      <c r="M47" s="118">
        <v>1000</v>
      </c>
      <c r="N47" s="118"/>
      <c r="O47" s="114" t="s">
        <v>304</v>
      </c>
    </row>
    <row r="48" spans="1:15" customFormat="1" ht="15.75" x14ac:dyDescent="0.25">
      <c r="A48" s="119">
        <v>14</v>
      </c>
      <c r="B48" s="114" t="s">
        <v>18</v>
      </c>
      <c r="C48" s="114" t="s">
        <v>0</v>
      </c>
      <c r="D48" s="114" t="s">
        <v>31</v>
      </c>
      <c r="E48" s="114" t="s">
        <v>159</v>
      </c>
      <c r="F48" s="114" t="s">
        <v>190</v>
      </c>
      <c r="G48" s="114" t="s">
        <v>22</v>
      </c>
      <c r="H48" s="114">
        <v>41575</v>
      </c>
      <c r="I48" s="114">
        <v>10</v>
      </c>
      <c r="J48" s="114" t="s">
        <v>224</v>
      </c>
      <c r="K48" s="114" t="s">
        <v>23</v>
      </c>
      <c r="L48" s="114">
        <v>1</v>
      </c>
      <c r="M48" s="118">
        <v>500</v>
      </c>
      <c r="N48" s="118"/>
      <c r="O48" s="114" t="s">
        <v>304</v>
      </c>
    </row>
    <row r="49" spans="1:15" customFormat="1" ht="15.75" x14ac:dyDescent="0.25">
      <c r="A49" s="119">
        <v>18</v>
      </c>
      <c r="B49" s="114" t="s">
        <v>18</v>
      </c>
      <c r="C49" s="114" t="s">
        <v>0</v>
      </c>
      <c r="D49" s="114" t="s">
        <v>31</v>
      </c>
      <c r="E49" s="114" t="s">
        <v>187</v>
      </c>
      <c r="F49" s="114" t="s">
        <v>34</v>
      </c>
      <c r="G49" s="114" t="s">
        <v>22</v>
      </c>
      <c r="H49" s="114">
        <v>41577</v>
      </c>
      <c r="I49" s="114">
        <v>10</v>
      </c>
      <c r="J49" s="114" t="s">
        <v>224</v>
      </c>
      <c r="K49" s="114" t="s">
        <v>23</v>
      </c>
      <c r="L49" s="114">
        <v>1</v>
      </c>
      <c r="M49" s="118">
        <v>14.6</v>
      </c>
      <c r="N49" s="118"/>
      <c r="O49" s="114" t="s">
        <v>304</v>
      </c>
    </row>
    <row r="50" spans="1:15" customFormat="1" ht="15.75" x14ac:dyDescent="0.25">
      <c r="A50" s="119">
        <v>17</v>
      </c>
      <c r="B50" s="114" t="s">
        <v>18</v>
      </c>
      <c r="C50" s="114" t="s">
        <v>0</v>
      </c>
      <c r="D50" s="114" t="s">
        <v>31</v>
      </c>
      <c r="E50" s="114" t="s">
        <v>187</v>
      </c>
      <c r="F50" s="114" t="s">
        <v>186</v>
      </c>
      <c r="G50" s="114" t="s">
        <v>22</v>
      </c>
      <c r="H50" s="114">
        <v>41576</v>
      </c>
      <c r="I50" s="114">
        <v>10</v>
      </c>
      <c r="J50" s="114" t="s">
        <v>224</v>
      </c>
      <c r="K50" s="114" t="s">
        <v>36</v>
      </c>
      <c r="L50" s="114">
        <v>3</v>
      </c>
      <c r="M50" s="118">
        <v>375</v>
      </c>
      <c r="N50" s="118"/>
      <c r="O50" s="114" t="s">
        <v>304</v>
      </c>
    </row>
    <row r="51" spans="1:15" customFormat="1" ht="15.75" x14ac:dyDescent="0.25">
      <c r="A51" s="119">
        <v>16</v>
      </c>
      <c r="B51" s="114" t="s">
        <v>18</v>
      </c>
      <c r="C51" s="114" t="s">
        <v>0</v>
      </c>
      <c r="D51" s="114" t="s">
        <v>31</v>
      </c>
      <c r="E51" s="114" t="s">
        <v>187</v>
      </c>
      <c r="F51" s="114" t="s">
        <v>189</v>
      </c>
      <c r="G51" s="114" t="s">
        <v>22</v>
      </c>
      <c r="H51" s="114">
        <v>41576</v>
      </c>
      <c r="I51" s="114">
        <v>10</v>
      </c>
      <c r="J51" s="114" t="s">
        <v>224</v>
      </c>
      <c r="K51" s="114" t="s">
        <v>23</v>
      </c>
      <c r="L51" s="114">
        <v>1</v>
      </c>
      <c r="M51" s="118">
        <v>571.64</v>
      </c>
      <c r="N51" s="118"/>
      <c r="O51" s="114" t="s">
        <v>304</v>
      </c>
    </row>
    <row r="52" spans="1:15" customFormat="1" ht="15.75" x14ac:dyDescent="0.25">
      <c r="A52" s="119">
        <v>15</v>
      </c>
      <c r="B52" s="114" t="s">
        <v>18</v>
      </c>
      <c r="C52" s="114" t="s">
        <v>0</v>
      </c>
      <c r="D52" s="114" t="s">
        <v>31</v>
      </c>
      <c r="E52" s="114" t="s">
        <v>187</v>
      </c>
      <c r="F52" s="114" t="s">
        <v>188</v>
      </c>
      <c r="G52" s="114" t="s">
        <v>22</v>
      </c>
      <c r="H52" s="114">
        <v>41576</v>
      </c>
      <c r="I52" s="114">
        <v>10</v>
      </c>
      <c r="J52" s="114" t="s">
        <v>224</v>
      </c>
      <c r="K52" s="114" t="s">
        <v>23</v>
      </c>
      <c r="L52" s="114">
        <v>1</v>
      </c>
      <c r="M52" s="118">
        <v>120</v>
      </c>
      <c r="N52" s="118"/>
      <c r="O52" s="114" t="s">
        <v>304</v>
      </c>
    </row>
    <row r="53" spans="1:15" customFormat="1" ht="15.75" x14ac:dyDescent="0.25">
      <c r="A53" s="119">
        <v>28</v>
      </c>
      <c r="B53" s="114" t="s">
        <v>18</v>
      </c>
      <c r="C53" s="114" t="s">
        <v>45</v>
      </c>
      <c r="D53" s="114" t="s">
        <v>46</v>
      </c>
      <c r="E53" s="114" t="s">
        <v>195</v>
      </c>
      <c r="F53" s="114" t="s">
        <v>196</v>
      </c>
      <c r="G53" s="114" t="s">
        <v>22</v>
      </c>
      <c r="H53" s="114">
        <v>41522</v>
      </c>
      <c r="I53" s="114">
        <v>9</v>
      </c>
      <c r="J53" s="114" t="s">
        <v>223</v>
      </c>
      <c r="K53" s="114" t="s">
        <v>47</v>
      </c>
      <c r="L53" s="114">
        <v>1</v>
      </c>
      <c r="M53" s="118">
        <v>1685.88</v>
      </c>
      <c r="N53" s="118">
        <v>0</v>
      </c>
      <c r="O53" s="114" t="s">
        <v>304</v>
      </c>
    </row>
    <row r="54" spans="1:15" customFormat="1" ht="15.75" x14ac:dyDescent="0.25">
      <c r="A54" s="119"/>
      <c r="B54" s="114" t="s">
        <v>0</v>
      </c>
      <c r="C54" s="114" t="s">
        <v>3</v>
      </c>
      <c r="D54" s="114" t="s">
        <v>42</v>
      </c>
      <c r="E54" s="114" t="s">
        <v>92</v>
      </c>
      <c r="F54" s="114" t="s">
        <v>93</v>
      </c>
      <c r="G54" s="114" t="s">
        <v>32</v>
      </c>
      <c r="H54" s="114">
        <v>41605</v>
      </c>
      <c r="I54" s="114">
        <v>11</v>
      </c>
      <c r="J54" s="114" t="s">
        <v>224</v>
      </c>
      <c r="K54" s="114" t="s">
        <v>23</v>
      </c>
      <c r="L54" s="114">
        <v>1</v>
      </c>
      <c r="M54" s="118">
        <v>15.76</v>
      </c>
      <c r="N54" s="118">
        <v>0</v>
      </c>
      <c r="O54" s="114" t="s">
        <v>306</v>
      </c>
    </row>
    <row r="55" spans="1:15" customFormat="1" ht="15.75" x14ac:dyDescent="0.25">
      <c r="A55" s="119">
        <v>27</v>
      </c>
      <c r="B55" s="114" t="s">
        <v>18</v>
      </c>
      <c r="C55" s="114" t="s">
        <v>45</v>
      </c>
      <c r="D55" s="114" t="s">
        <v>46</v>
      </c>
      <c r="E55" s="114" t="s">
        <v>48</v>
      </c>
      <c r="F55" s="114" t="s">
        <v>49</v>
      </c>
      <c r="G55" s="114" t="s">
        <v>22</v>
      </c>
      <c r="H55" s="114">
        <v>41527</v>
      </c>
      <c r="I55" s="114">
        <v>9</v>
      </c>
      <c r="J55" s="114" t="s">
        <v>223</v>
      </c>
      <c r="K55" s="114" t="s">
        <v>36</v>
      </c>
      <c r="L55" s="114">
        <v>3</v>
      </c>
      <c r="M55" s="118">
        <v>185</v>
      </c>
      <c r="N55" s="118">
        <v>0</v>
      </c>
      <c r="O55" s="114" t="s">
        <v>308</v>
      </c>
    </row>
    <row r="56" spans="1:15" customFormat="1" ht="15.75" x14ac:dyDescent="0.25">
      <c r="A56" s="119"/>
      <c r="B56" s="114" t="s">
        <v>18</v>
      </c>
      <c r="C56" s="114" t="s">
        <v>45</v>
      </c>
      <c r="D56" s="114" t="s">
        <v>46</v>
      </c>
      <c r="E56" s="114" t="s">
        <v>29</v>
      </c>
      <c r="F56" s="114" t="s">
        <v>229</v>
      </c>
      <c r="G56" s="114" t="s">
        <v>22</v>
      </c>
      <c r="H56" s="114">
        <v>41439</v>
      </c>
      <c r="I56" s="114">
        <v>6</v>
      </c>
      <c r="J56" s="114" t="s">
        <v>222</v>
      </c>
      <c r="K56" s="114" t="s">
        <v>50</v>
      </c>
      <c r="L56" s="114">
        <v>1</v>
      </c>
      <c r="M56" s="118">
        <v>0</v>
      </c>
      <c r="N56" s="118">
        <v>0</v>
      </c>
      <c r="O56" s="114" t="s">
        <v>309</v>
      </c>
    </row>
    <row r="57" spans="1:15" customFormat="1" ht="15.75" x14ac:dyDescent="0.25">
      <c r="A57" s="119">
        <v>82</v>
      </c>
      <c r="B57" s="114" t="s">
        <v>18</v>
      </c>
      <c r="C57" s="114"/>
      <c r="D57" s="114" t="s">
        <v>118</v>
      </c>
      <c r="E57" s="114" t="s">
        <v>114</v>
      </c>
      <c r="F57" s="114" t="s">
        <v>28</v>
      </c>
      <c r="G57" s="114" t="s">
        <v>251</v>
      </c>
      <c r="H57" s="114">
        <v>41604</v>
      </c>
      <c r="I57" s="114">
        <v>11</v>
      </c>
      <c r="J57" s="114" t="s">
        <v>224</v>
      </c>
      <c r="K57" s="114" t="s">
        <v>12</v>
      </c>
      <c r="L57" s="114">
        <v>8.3333333333333329E-2</v>
      </c>
      <c r="M57" s="118">
        <v>11.044025157232705</v>
      </c>
      <c r="N57" s="118">
        <v>0.92033542976939198</v>
      </c>
      <c r="O57" s="114" t="s">
        <v>207</v>
      </c>
    </row>
    <row r="58" spans="1:15" customFormat="1" ht="15.75" x14ac:dyDescent="0.25">
      <c r="A58" s="119">
        <v>82</v>
      </c>
      <c r="B58" s="114" t="s">
        <v>18</v>
      </c>
      <c r="C58" s="114"/>
      <c r="D58" s="114" t="s">
        <v>119</v>
      </c>
      <c r="E58" s="114" t="s">
        <v>114</v>
      </c>
      <c r="F58" s="114" t="s">
        <v>28</v>
      </c>
      <c r="G58" s="114" t="s">
        <v>251</v>
      </c>
      <c r="H58" s="114">
        <v>41604</v>
      </c>
      <c r="I58" s="114">
        <v>11</v>
      </c>
      <c r="J58" s="114" t="s">
        <v>224</v>
      </c>
      <c r="K58" s="114" t="s">
        <v>12</v>
      </c>
      <c r="L58" s="114">
        <v>0.25</v>
      </c>
      <c r="M58" s="118">
        <v>11.044025157232705</v>
      </c>
      <c r="N58" s="118">
        <v>2.7610062893081762</v>
      </c>
      <c r="O58" s="114" t="s">
        <v>207</v>
      </c>
    </row>
    <row r="59" spans="1:15" customFormat="1" ht="15.75" x14ac:dyDescent="0.25">
      <c r="A59" s="119">
        <v>82</v>
      </c>
      <c r="B59" s="114" t="s">
        <v>18</v>
      </c>
      <c r="C59" s="114"/>
      <c r="D59" s="114" t="s">
        <v>16</v>
      </c>
      <c r="E59" s="114" t="s">
        <v>114</v>
      </c>
      <c r="F59" s="114" t="s">
        <v>28</v>
      </c>
      <c r="G59" s="114" t="s">
        <v>251</v>
      </c>
      <c r="H59" s="114">
        <v>41604</v>
      </c>
      <c r="I59" s="114">
        <v>11</v>
      </c>
      <c r="J59" s="114" t="s">
        <v>224</v>
      </c>
      <c r="K59" s="114" t="s">
        <v>12</v>
      </c>
      <c r="L59" s="114">
        <v>0.16666666666666666</v>
      </c>
      <c r="M59" s="118">
        <v>11.044025157232705</v>
      </c>
      <c r="N59" s="118">
        <v>1.840670859538784</v>
      </c>
      <c r="O59" s="114" t="s">
        <v>207</v>
      </c>
    </row>
    <row r="60" spans="1:15" customFormat="1" ht="15.75" x14ac:dyDescent="0.25">
      <c r="A60" s="119">
        <v>82</v>
      </c>
      <c r="B60" s="114" t="s">
        <v>18</v>
      </c>
      <c r="C60" s="114"/>
      <c r="D60" s="114" t="s">
        <v>120</v>
      </c>
      <c r="E60" s="114" t="s">
        <v>114</v>
      </c>
      <c r="F60" s="114" t="s">
        <v>28</v>
      </c>
      <c r="G60" s="114" t="s">
        <v>251</v>
      </c>
      <c r="H60" s="114">
        <v>41604</v>
      </c>
      <c r="I60" s="114">
        <v>11</v>
      </c>
      <c r="J60" s="114" t="s">
        <v>224</v>
      </c>
      <c r="K60" s="114" t="s">
        <v>12</v>
      </c>
      <c r="L60" s="114">
        <v>0.16666666666666699</v>
      </c>
      <c r="M60" s="118">
        <v>11.044025157232705</v>
      </c>
      <c r="N60" s="118">
        <v>1.8406708595387877</v>
      </c>
      <c r="O60" s="114" t="s">
        <v>207</v>
      </c>
    </row>
    <row r="61" spans="1:15" customFormat="1" ht="15.75" x14ac:dyDescent="0.25">
      <c r="A61" s="119">
        <v>82</v>
      </c>
      <c r="B61" s="114" t="s">
        <v>18</v>
      </c>
      <c r="C61" s="114"/>
      <c r="D61" s="114" t="s">
        <v>122</v>
      </c>
      <c r="E61" s="114" t="s">
        <v>114</v>
      </c>
      <c r="F61" s="114"/>
      <c r="G61" s="114" t="s">
        <v>251</v>
      </c>
      <c r="H61" s="114">
        <v>41604</v>
      </c>
      <c r="I61" s="114">
        <v>11</v>
      </c>
      <c r="J61" s="114" t="s">
        <v>224</v>
      </c>
      <c r="K61" s="114" t="s">
        <v>12</v>
      </c>
      <c r="L61" s="114">
        <v>0.33333333333333331</v>
      </c>
      <c r="M61" s="118">
        <v>11.044025157232705</v>
      </c>
      <c r="N61" s="118">
        <v>3.6813417190775679</v>
      </c>
      <c r="O61" s="114" t="s">
        <v>207</v>
      </c>
    </row>
    <row r="62" spans="1:15" x14ac:dyDescent="0.2">
      <c r="A62" s="2">
        <v>83</v>
      </c>
      <c r="B62" s="17" t="s">
        <v>210</v>
      </c>
      <c r="E62" s="17" t="s">
        <v>7</v>
      </c>
      <c r="F62" s="17" t="s">
        <v>111</v>
      </c>
      <c r="G62" s="17" t="s">
        <v>251</v>
      </c>
      <c r="H62" s="17">
        <v>41416</v>
      </c>
      <c r="I62" s="17">
        <v>5</v>
      </c>
      <c r="J62" s="17" t="s">
        <v>222</v>
      </c>
      <c r="K62" s="17" t="s">
        <v>12</v>
      </c>
      <c r="L62" s="17">
        <v>1.5</v>
      </c>
      <c r="M62" s="17">
        <v>43.257102925027453</v>
      </c>
      <c r="N62" s="17">
        <v>64.88565438754118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I16" sqref="I16"/>
    </sheetView>
  </sheetViews>
  <sheetFormatPr defaultRowHeight="15.75" x14ac:dyDescent="0.25"/>
  <cols>
    <col min="1" max="1" width="2.25" customWidth="1"/>
    <col min="2" max="2" width="4.25" customWidth="1"/>
    <col min="3" max="3" width="26.75" customWidth="1"/>
    <col min="4" max="4" width="23.625" customWidth="1"/>
    <col min="5" max="5" width="16.5" customWidth="1"/>
    <col min="6" max="6" width="21.375" customWidth="1"/>
    <col min="7" max="7" width="13" customWidth="1"/>
    <col min="8" max="8" width="19.375" customWidth="1"/>
    <col min="9" max="9" width="27.875" bestFit="1" customWidth="1"/>
  </cols>
  <sheetData>
    <row r="1" spans="1:14" ht="18.75" x14ac:dyDescent="0.25">
      <c r="A1" s="220" t="s">
        <v>102</v>
      </c>
    </row>
    <row r="2" spans="1:14" x14ac:dyDescent="0.25">
      <c r="A2" s="120" t="s">
        <v>97</v>
      </c>
    </row>
    <row r="3" spans="1:14" x14ac:dyDescent="0.25">
      <c r="A3" s="120" t="s">
        <v>361</v>
      </c>
    </row>
    <row r="6" spans="1:14" ht="16.5" thickBot="1" x14ac:dyDescent="0.3">
      <c r="D6" s="223" t="s">
        <v>362</v>
      </c>
      <c r="E6" s="222"/>
      <c r="F6" s="222"/>
      <c r="G6" s="222"/>
    </row>
    <row r="7" spans="1:14" ht="40.5" customHeight="1" x14ac:dyDescent="0.25">
      <c r="C7" s="224" t="s">
        <v>364</v>
      </c>
      <c r="D7" s="225" t="s">
        <v>367</v>
      </c>
      <c r="E7" s="225" t="s">
        <v>365</v>
      </c>
      <c r="F7" s="225" t="s">
        <v>366</v>
      </c>
      <c r="G7" s="225" t="s">
        <v>368</v>
      </c>
      <c r="H7" s="224" t="s">
        <v>363</v>
      </c>
      <c r="I7" s="227"/>
      <c r="J7" s="221"/>
      <c r="K7" s="221"/>
      <c r="L7" s="221"/>
      <c r="M7" s="221"/>
      <c r="N7" s="221"/>
    </row>
    <row r="8" spans="1:14" x14ac:dyDescent="0.25">
      <c r="C8" s="228" t="s">
        <v>369</v>
      </c>
      <c r="D8" s="229"/>
      <c r="E8" s="229"/>
      <c r="F8" s="229"/>
      <c r="G8" s="229"/>
      <c r="H8" s="233">
        <f>SUM(E8,G8)</f>
        <v>0</v>
      </c>
    </row>
    <row r="9" spans="1:14" x14ac:dyDescent="0.25">
      <c r="C9" s="228" t="s">
        <v>370</v>
      </c>
      <c r="D9" s="229"/>
      <c r="E9" s="229"/>
      <c r="F9" s="229"/>
      <c r="G9" s="229"/>
      <c r="H9" s="233">
        <f>SUM(E9,G9)</f>
        <v>0</v>
      </c>
    </row>
    <row r="10" spans="1:14" x14ac:dyDescent="0.25">
      <c r="C10" s="228" t="s">
        <v>373</v>
      </c>
      <c r="D10" s="229">
        <v>1</v>
      </c>
      <c r="E10" s="233">
        <v>1538.114071852425</v>
      </c>
      <c r="F10" s="229">
        <v>1</v>
      </c>
      <c r="G10" s="233">
        <v>60110.572756666683</v>
      </c>
      <c r="H10" s="233">
        <f t="shared" ref="H10:H13" si="0">SUM(E10,G10)</f>
        <v>61648.686828519109</v>
      </c>
    </row>
    <row r="11" spans="1:14" x14ac:dyDescent="0.25">
      <c r="C11" s="228" t="s">
        <v>371</v>
      </c>
      <c r="D11" s="229">
        <v>2</v>
      </c>
      <c r="E11" s="233">
        <v>481.51578906250302</v>
      </c>
      <c r="F11" s="229"/>
      <c r="G11" s="229"/>
      <c r="H11" s="233">
        <f t="shared" si="0"/>
        <v>481.51578906250302</v>
      </c>
    </row>
    <row r="12" spans="1:14" x14ac:dyDescent="0.25">
      <c r="C12" s="228" t="s">
        <v>374</v>
      </c>
      <c r="D12" s="229"/>
      <c r="E12" s="229"/>
      <c r="F12" s="229"/>
      <c r="G12" s="229"/>
      <c r="H12" s="233">
        <f t="shared" si="0"/>
        <v>0</v>
      </c>
    </row>
    <row r="13" spans="1:14" x14ac:dyDescent="0.25">
      <c r="C13" s="228" t="s">
        <v>372</v>
      </c>
      <c r="D13" s="229"/>
      <c r="E13" s="229"/>
      <c r="F13" s="229"/>
      <c r="G13" s="229"/>
      <c r="H13" s="233">
        <f t="shared" si="0"/>
        <v>0</v>
      </c>
    </row>
    <row r="14" spans="1:14" x14ac:dyDescent="0.25">
      <c r="C14" s="226" t="s">
        <v>94</v>
      </c>
      <c r="D14" s="230">
        <f>SUM(D8:D13)</f>
        <v>3</v>
      </c>
      <c r="E14" s="234">
        <f>SUM(E8:E13)</f>
        <v>2019.629860914928</v>
      </c>
      <c r="F14" s="230">
        <f>SUM(F8:F13)</f>
        <v>1</v>
      </c>
      <c r="G14" s="234">
        <f>SUM(G8:G13)</f>
        <v>60110.572756666683</v>
      </c>
      <c r="H14" s="233">
        <f>SUM(E14,G14)</f>
        <v>62130.202617581614</v>
      </c>
    </row>
    <row r="15" spans="1:14" ht="31.5" x14ac:dyDescent="0.25">
      <c r="C15" s="231" t="s">
        <v>375</v>
      </c>
      <c r="D15" s="229"/>
      <c r="E15" s="233"/>
      <c r="F15" s="229"/>
      <c r="G15" s="233"/>
      <c r="H15" s="233"/>
    </row>
    <row r="16" spans="1:14" x14ac:dyDescent="0.25">
      <c r="C16" s="232" t="s">
        <v>376</v>
      </c>
      <c r="H16" s="235">
        <f>SUM(H14:H15)</f>
        <v>62130.202617581614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9" sqref="L19"/>
    </sheetView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5</vt:i4>
      </vt:variant>
    </vt:vector>
  </HeadingPairs>
  <TitlesOfParts>
    <vt:vector size="15" baseType="lpstr">
      <vt:lpstr>Resumo</vt:lpstr>
      <vt:lpstr>Investimentos</vt:lpstr>
      <vt:lpstr>Terceiros</vt:lpstr>
      <vt:lpstr>Terceiros-Resumo</vt:lpstr>
      <vt:lpstr>Salário e Custo Hora</vt:lpstr>
      <vt:lpstr>Projetos</vt:lpstr>
      <vt:lpstr>Dias Úteis</vt:lpstr>
      <vt:lpstr>Valores desclassificados</vt:lpstr>
      <vt:lpstr>Quadro de pessoal</vt:lpstr>
      <vt:lpstr>Plan2</vt:lpstr>
      <vt:lpstr>Investimentos!Area_de_impressao</vt:lpstr>
      <vt:lpstr>Resumo!Area_de_impressao</vt:lpstr>
      <vt:lpstr>'Salário e Custo Hora'!Area_de_impressao</vt:lpstr>
      <vt:lpstr>Terceiros!Area_de_impressao</vt:lpstr>
      <vt:lpstr>Investimentos!Titulos_de_impressao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Augusto_McBenner</dc:creator>
  <cp:lastModifiedBy>Flavia Dudeque</cp:lastModifiedBy>
  <cp:lastPrinted>2014-05-20T12:59:44Z</cp:lastPrinted>
  <dcterms:created xsi:type="dcterms:W3CDTF">2014-01-23T15:31:16Z</dcterms:created>
  <dcterms:modified xsi:type="dcterms:W3CDTF">2014-12-22T11:59:57Z</dcterms:modified>
</cp:coreProperties>
</file>