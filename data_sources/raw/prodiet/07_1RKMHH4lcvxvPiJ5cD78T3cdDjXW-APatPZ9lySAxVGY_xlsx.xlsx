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eriais" sheetId="1" r:id="rId5"/>
    <sheet state="visible" name="Investimento PJ" sheetId="2" r:id="rId6"/>
    <sheet state="visible" name="Quadros investimentos PJ" sheetId="3" r:id="rId7"/>
    <sheet state="visible" name="Quadros investimento Materiais" sheetId="4" r:id="rId8"/>
  </sheets>
  <definedNames>
    <definedName hidden="1" localSheetId="0" name="_xlnm._FilterDatabase">Materiais!$A$1:$Y$1000</definedName>
    <definedName hidden="1" localSheetId="1" name="_xlnm._FilterDatabase">'Investimento PJ'!$A$1:$Z$77</definedName>
  </definedNames>
  <calcPr/>
</workbook>
</file>

<file path=xl/sharedStrings.xml><?xml version="1.0" encoding="utf-8"?>
<sst xmlns="http://schemas.openxmlformats.org/spreadsheetml/2006/main" count="1313" uniqueCount="200">
  <si>
    <t>Tipo de documento</t>
  </si>
  <si>
    <t>Documento</t>
  </si>
  <si>
    <t>PRODUTOS</t>
  </si>
  <si>
    <t>CPF / CNPJ</t>
  </si>
  <si>
    <t>ATIVIDADE</t>
  </si>
  <si>
    <t>DATA</t>
  </si>
  <si>
    <t>TOTAL</t>
  </si>
  <si>
    <t>Novos Produtos</t>
  </si>
  <si>
    <t>Novas matérias-primas</t>
  </si>
  <si>
    <t>Melhoria de Produto</t>
  </si>
  <si>
    <t>Melhoria de Processo</t>
  </si>
  <si>
    <t>ILSI</t>
  </si>
  <si>
    <t>Bilhete e-ticket</t>
  </si>
  <si>
    <t>577 0005868279</t>
  </si>
  <si>
    <t>Immax</t>
  </si>
  <si>
    <t>Passagens Hellin IDA e VOLTA Ribeirão Preto</t>
  </si>
  <si>
    <t>-</t>
  </si>
  <si>
    <t>Cupons fiscais</t>
  </si>
  <si>
    <t>Alimentação e táxi Hellin Ribeirão Preto</t>
  </si>
  <si>
    <t>NF</t>
  </si>
  <si>
    <t>12.457.568/0001-15</t>
  </si>
  <si>
    <t>13.807.270/0001-50</t>
  </si>
  <si>
    <t>77.765.840/0001-70</t>
  </si>
  <si>
    <t>Materiais</t>
  </si>
  <si>
    <t>21.059.832/0001-53</t>
  </si>
  <si>
    <t>Balança de controle corporal - estudo clínico Immax</t>
  </si>
  <si>
    <t>Leites terapêuticos</t>
  </si>
  <si>
    <t>02.608.645/0001-37</t>
  </si>
  <si>
    <t>Seladora de bancada - Leites terapêuticos</t>
  </si>
  <si>
    <t>Alzheimer</t>
  </si>
  <si>
    <t>06.635.677/0001-82</t>
  </si>
  <si>
    <t>Compra de livros nutrição enteral</t>
  </si>
  <si>
    <t>Alzheimer, Bemmax, Immax</t>
  </si>
  <si>
    <t>14.492.128/0001-89</t>
  </si>
  <si>
    <t>Compra de produtos concorrentes</t>
  </si>
  <si>
    <t>Invoice</t>
  </si>
  <si>
    <t>Trophic Junior</t>
  </si>
  <si>
    <t>Densidade volumétrica Trophic Junior</t>
  </si>
  <si>
    <t>Expresso</t>
  </si>
  <si>
    <t>Conhec. Aéreo 9692285061</t>
  </si>
  <si>
    <t>Envio de amostras de T. Junior para o exterior (Stern)</t>
  </si>
  <si>
    <t>Fatura</t>
  </si>
  <si>
    <t>AWB 6152 6505 2282</t>
  </si>
  <si>
    <t>Mix de minerais 16006</t>
  </si>
  <si>
    <t>00.676.486/0001-82</t>
  </si>
  <si>
    <t>Recebimento de amostra de mix 16006</t>
  </si>
  <si>
    <t>PHA Costantino</t>
  </si>
  <si>
    <t>Recebimento de amostra de PHA Costantino</t>
  </si>
  <si>
    <t>Cupom fiscal</t>
  </si>
  <si>
    <t>Vital Rice Complete</t>
  </si>
  <si>
    <t>08.011.373/0001-70</t>
  </si>
  <si>
    <t>Feira de nutrição enteral</t>
  </si>
  <si>
    <t>Gastos em Feira de Nutrição Enteral (Felanpe) para prospecção de novos projetos</t>
  </si>
  <si>
    <t>Caseinato de cálcio Fonterra</t>
  </si>
  <si>
    <t>76.108.349/0014-28</t>
  </si>
  <si>
    <t>Envio de 24 amostras de T. Fiber para a Prodiet</t>
  </si>
  <si>
    <t>Cupons fiscais e bilhete e-ticket</t>
  </si>
  <si>
    <t>Feira de ingredientes</t>
  </si>
  <si>
    <t>Participação em feira de ingredientes para prospecção de novas MP</t>
  </si>
  <si>
    <t>T. Bio, Peptimax e Immax</t>
  </si>
  <si>
    <t>Análise de micronutrientes - NP e redução de Na e P</t>
  </si>
  <si>
    <t>957 213526024/577 0005867190</t>
  </si>
  <si>
    <t>Passagens Hellin IDA e VOLTA workshop ILSI setembro</t>
  </si>
  <si>
    <t>Confirmação reserva</t>
  </si>
  <si>
    <t>Reserva hotel Hellin - ILSI série de workshops</t>
  </si>
  <si>
    <t>247 2426021755/957 2137652929</t>
  </si>
  <si>
    <t>Passagens Hellin - ILSI série de workshops</t>
  </si>
  <si>
    <t>Bilhete e-ticket/Cupons fiscais</t>
  </si>
  <si>
    <t>957 2124724203</t>
  </si>
  <si>
    <t>Gastos Jana - workshop ILSI fevereiro</t>
  </si>
  <si>
    <t>957 2126179902</t>
  </si>
  <si>
    <t>Passagem workshop ILSI - Jana</t>
  </si>
  <si>
    <t>Gastos Jana - workshop ILSI março</t>
  </si>
  <si>
    <t>247 2425232331/127 0001897631</t>
  </si>
  <si>
    <t>Gastos Hellin - reunião geral ILSI 14/10</t>
  </si>
  <si>
    <t>Recibo</t>
  </si>
  <si>
    <t>Gastos transporte Hellin - reunião geral ILSI 14/10</t>
  </si>
  <si>
    <t>Gastos Jana - reunião geral ILSI 14/10</t>
  </si>
  <si>
    <t>957 212697498</t>
  </si>
  <si>
    <t>Passagem reunião geral ILSI - Jana</t>
  </si>
  <si>
    <t>577 0005846198/957 2133365958</t>
  </si>
  <si>
    <t>Passagem reunião geral ILSI - Hellin</t>
  </si>
  <si>
    <t>Bilhete e-ticket e recibos</t>
  </si>
  <si>
    <t>127 0001931180</t>
  </si>
  <si>
    <t>Gastos e passagem Hellin - reunião geral ILSI 29/11</t>
  </si>
  <si>
    <t>Tipo</t>
  </si>
  <si>
    <t>Controle DOCS</t>
  </si>
  <si>
    <t>Mês</t>
  </si>
  <si>
    <t>QTD</t>
  </si>
  <si>
    <t>UNITÁRIO</t>
  </si>
  <si>
    <t>Bemmax, Peptimax</t>
  </si>
  <si>
    <t>00.000.410/0001-32</t>
  </si>
  <si>
    <t>Análise de ácidos graxos</t>
  </si>
  <si>
    <t>21.213.714/0001-58</t>
  </si>
  <si>
    <t>Desenvolvimento de receitas Immax</t>
  </si>
  <si>
    <t>94.088.952/0001-52</t>
  </si>
  <si>
    <t>Análise de micronutrientes Immax</t>
  </si>
  <si>
    <t>50.276.237/0001-78</t>
  </si>
  <si>
    <t>Análises físico-químicas Immax</t>
  </si>
  <si>
    <t>Análise de ácidos graxos Immax</t>
  </si>
  <si>
    <t>04.404.467/0001-58</t>
  </si>
  <si>
    <t>1ª parcela do contrato de prestação de serviço estudo clínico Immax</t>
  </si>
  <si>
    <t>Trophic Junior e mix 16006</t>
  </si>
  <si>
    <t>Análise de micronutrentes T. Junior (mix 16006)</t>
  </si>
  <si>
    <t>Vital Rice</t>
  </si>
  <si>
    <t>02.021.076/0001-29</t>
  </si>
  <si>
    <t>Análises físico-químicas e microbiológicas Vital Rice</t>
  </si>
  <si>
    <t>76.659.820/0003-13</t>
  </si>
  <si>
    <t>Teste de bancada na PUC-PR</t>
  </si>
  <si>
    <t>Teste de alergênicos lecitina de soja em pó</t>
  </si>
  <si>
    <t>Immax, L-leucina</t>
  </si>
  <si>
    <t>Mix 150243, PHA Friesl, T. Infant</t>
  </si>
  <si>
    <t>Análises vitaminas T. Infant nova fórmula; alergênico PHA</t>
  </si>
  <si>
    <t>T. Infant, MPC Fonterra, Loremalt 2030M, Açúcar K, mix 150243</t>
  </si>
  <si>
    <t>FQ T. Infant nova fórmula</t>
  </si>
  <si>
    <t>T. EP e mix 152349</t>
  </si>
  <si>
    <t>Analisa os testes dos produtos e dá assistência na parametrização do produto e dos novos testes a serem feitos. Faz acompanhamento técnico de todos os projetos de pesquisa e desenvolvimento.</t>
  </si>
  <si>
    <t>Bio e Pept. (red. Na e P); T. Junior, mix 16006, mix 151160</t>
  </si>
  <si>
    <t>Análises micronut. Bio, Pept., T. Fiber e T. Junior</t>
  </si>
  <si>
    <t>Mix 151160</t>
  </si>
  <si>
    <t>Análise de minerais T.Fiber</t>
  </si>
  <si>
    <t>Trophic Junior, T. Basic pó</t>
  </si>
  <si>
    <t>Análise microbiologia T. Junior/T. Basic</t>
  </si>
  <si>
    <t>Peptimax lata</t>
  </si>
  <si>
    <t>55.953.079/0001-67</t>
  </si>
  <si>
    <t>Análise de shelf life primeira produção de Peptimax lata</t>
  </si>
  <si>
    <t>Energyzip 1.0</t>
  </si>
  <si>
    <t>Primeira produção de E 1.0 Castrolanda</t>
  </si>
  <si>
    <t>Shelf Life E 1.0 com maior tempo de retardo e menor temperatura de esterilização</t>
  </si>
  <si>
    <t>T. Junior, T 1.5, Diamax, Peptimax, T. Basic líq, E. 10, T. Fiber</t>
  </si>
  <si>
    <t>61.379.657/0001-04</t>
  </si>
  <si>
    <t>Análises de shelf life</t>
  </si>
  <si>
    <t>Diamax, E.10, T. Basic líq, T.15, T. Fiber</t>
  </si>
  <si>
    <t>T. Fiber, T 1.5, T EP, Peptimax</t>
  </si>
  <si>
    <t>Análises distribuição de tamanho de partícula</t>
  </si>
  <si>
    <t>E. chocolate, T. Fiber (caseinato Ca)</t>
  </si>
  <si>
    <t>Distribuição de partícula - E. chocolate e T Fiber com novo caseinato</t>
  </si>
  <si>
    <t>Peptimax lata, T. Bio</t>
  </si>
  <si>
    <t>Ácidos graxos T. Bio lecitinado e Peptimax lata</t>
  </si>
  <si>
    <t>04/11/2-16</t>
  </si>
  <si>
    <t>Trophic EP (mix 152349)</t>
  </si>
  <si>
    <t>Análise de vitaminas Trophic EP baixa viscosidade</t>
  </si>
  <si>
    <t>Trophic Infant e Peptimax</t>
  </si>
  <si>
    <t>Análise microbiologia T Infant e Peptimax lata</t>
  </si>
  <si>
    <t>Trophic Bio e Peptimax</t>
  </si>
  <si>
    <t>Análise de micronutrientes para estudo de redução de Na e P</t>
  </si>
  <si>
    <t>Trophic Basic</t>
  </si>
  <si>
    <t>Análises de micronutrientes para estudo de redução Na e P</t>
  </si>
  <si>
    <t>Trophic Infant</t>
  </si>
  <si>
    <t>Análises ácidos graxos T. Infant nova fórmula</t>
  </si>
  <si>
    <t>Diamax</t>
  </si>
  <si>
    <t>Micronutrientes Diamax para estudo de extensão de validade</t>
  </si>
  <si>
    <t>Energyzip baunilha</t>
  </si>
  <si>
    <t>Micronutrientes E. baun para estudo de extensão de validade</t>
  </si>
  <si>
    <t>65.086.001/0001-46</t>
  </si>
  <si>
    <t>ILSI mensalidade julho</t>
  </si>
  <si>
    <t>ILSI mensalidade agosto</t>
  </si>
  <si>
    <t>ILSI mensalidade setembro</t>
  </si>
  <si>
    <t>ILSI mensalidade outubro</t>
  </si>
  <si>
    <t>ILSI mensalidade novembro</t>
  </si>
  <si>
    <t>ILSI mensalidade dezembro</t>
  </si>
  <si>
    <t>ILSI aquisição de livros</t>
  </si>
  <si>
    <t>ILSI workshop</t>
  </si>
  <si>
    <t>ILSI série de workshops</t>
  </si>
  <si>
    <t>ILSI mensalidade janeiro</t>
  </si>
  <si>
    <t>ILSI mensalidade fevereiro</t>
  </si>
  <si>
    <t>ILSI mensalidade março</t>
  </si>
  <si>
    <t>ILSI mensalidade abril</t>
  </si>
  <si>
    <t>ILSI mensalidade maio</t>
  </si>
  <si>
    <t>ILSI mensalidade junho</t>
  </si>
  <si>
    <t>NF (Relatório contábil)</t>
  </si>
  <si>
    <t>Ana Paula Celes</t>
  </si>
  <si>
    <t>03.150.501/0001-42</t>
  </si>
  <si>
    <t>Luciana Dutra</t>
  </si>
  <si>
    <t>18.337.175/0001-54</t>
  </si>
  <si>
    <t>Acompanha e faz teste nos produtos para validação de lote piloto, teste de validade do produto, teste de caracterísca e teste de de administração do produto final.Visto que são produtos de alimentação hospitalar, oral e domiciliar pós-internação.</t>
  </si>
  <si>
    <t>NOVOS PRODUTOS</t>
  </si>
  <si>
    <t>Produtos</t>
  </si>
  <si>
    <t>Atividade</t>
  </si>
  <si>
    <t>Data</t>
  </si>
  <si>
    <t>Valor</t>
  </si>
  <si>
    <t>NOVAS MPs</t>
  </si>
  <si>
    <t>12 NFs por ano</t>
  </si>
  <si>
    <t>Consultoria em analise dos testes dos produtos, assistência na parametrização dos novos testes a serem feitos, e suporte técnico mensal focado em PD&amp;I</t>
  </si>
  <si>
    <t>Pacote de serviços mensal o ano todo</t>
  </si>
  <si>
    <t>Consultoria e assistência técnica para testes, desenvolvimento de produtos, validação de lote piloto, e suporte técnico para pesquisas clínicas com produtos de alimentação hospitalar, oral e domiciliar pós-internação.</t>
  </si>
  <si>
    <t>MELHORIA DE PRODUTO</t>
  </si>
  <si>
    <t>Pacote de serviços mensal</t>
  </si>
  <si>
    <t>MELHORIA DE PROCESSOS</t>
  </si>
  <si>
    <t>Consultoria e assistência técnica para testes, desenvolvimento de produtos, validação de lote piloto</t>
  </si>
  <si>
    <t>Custos de testes realizados em Ribeirão Preto, SP</t>
  </si>
  <si>
    <t>Cfme relatório</t>
  </si>
  <si>
    <t>Insumos para testes do estudo clínico Immax</t>
  </si>
  <si>
    <t>Matéria prima para o estudo com Caseinato de cálcio</t>
  </si>
  <si>
    <t xml:space="preserve">Relatório </t>
  </si>
  <si>
    <t>N/A</t>
  </si>
  <si>
    <t>Custos e insumos para realização de capacitação quanto a ingredientes inovadores</t>
  </si>
  <si>
    <t>Pedido</t>
  </si>
  <si>
    <t>Insumos para análise de micronutrientes - estudo de redução de Na e P</t>
  </si>
  <si>
    <t>Custos e insumos necessários para realização de capacitação e workshop para 3 pesquisadores do departamento científico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</si>
</sst>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0;(#,##0.00)"/>
    <numFmt numFmtId="165" formatCode="dd/mm/yyyy"/>
    <numFmt numFmtId="166" formatCode="d/m/yyyy"/>
    <numFmt numFmtId="167" formatCode="dd/MM/yyyy"/>
  </numFmts>
  <fonts count="10">
    <font>
      <sz val="10.0"/>
      <color rgb="FF000000"/>
      <name val="Arial"/>
      <scheme val="minor"/>
    </font>
    <font>
      <b/>
      <color theme="1"/>
      <name val="Calibri"/>
    </font>
    <font>
      <b/>
      <color rgb="FF000000"/>
      <name val="Calibri"/>
    </font>
    <font>
      <color rgb="FF000000"/>
      <name val="Calibri"/>
    </font>
    <font>
      <color rgb="FFFF0000"/>
      <name val="Calibri"/>
    </font>
    <font>
      <color theme="1"/>
      <name val="Calibri"/>
    </font>
    <font>
      <color theme="1"/>
      <name val="Arial"/>
      <scheme val="minor"/>
    </font>
    <font>
      <sz val="8.0"/>
      <color theme="1"/>
      <name val="Cairo"/>
    </font>
    <font>
      <b/>
      <sz val="8.0"/>
      <color theme="1"/>
      <name val="Cairo"/>
    </font>
    <font>
      <b/>
      <sz val="8.0"/>
      <color rgb="FFFFFFFF"/>
      <name val="Cairo"/>
    </font>
  </fonts>
  <fills count="5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999999"/>
        <bgColor rgb="FF999999"/>
      </patternFill>
    </fill>
    <fill>
      <patternFill patternType="solid">
        <fgColor rgb="FFF3F3F3"/>
        <bgColor rgb="FFF3F3F3"/>
      </patternFill>
    </fill>
  </fills>
  <borders count="4">
    <border/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0"/>
    </xf>
    <xf borderId="1" fillId="0" fontId="1" numFmtId="164" xfId="0" applyAlignment="1" applyBorder="1" applyFont="1" applyNumberFormat="1">
      <alignment horizontal="right" readingOrder="0" shrinkToFit="0" wrapText="0"/>
    </xf>
    <xf borderId="2" fillId="0" fontId="1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horizontal="left" readingOrder="0" shrinkToFit="0" wrapText="0"/>
    </xf>
    <xf borderId="0" fillId="0" fontId="3" numFmtId="0" xfId="0" applyAlignment="1" applyFont="1">
      <alignment horizontal="left" readingOrder="0" shrinkToFit="0" wrapText="0"/>
    </xf>
    <xf borderId="0" fillId="0" fontId="3" numFmtId="0" xfId="0" applyAlignment="1" applyFont="1">
      <alignment horizontal="left" shrinkToFit="0" wrapText="0"/>
    </xf>
    <xf borderId="0" fillId="0" fontId="3" numFmtId="165" xfId="0" applyAlignment="1" applyFont="1" applyNumberFormat="1">
      <alignment horizontal="right" readingOrder="0" shrinkToFit="0" wrapText="0"/>
    </xf>
    <xf borderId="0" fillId="0" fontId="2" numFmtId="164" xfId="0" applyAlignment="1" applyFont="1" applyNumberFormat="1">
      <alignment horizontal="right" readingOrder="0" shrinkToFit="0" wrapText="0"/>
    </xf>
    <xf borderId="0" fillId="0" fontId="3" numFmtId="164" xfId="0" applyAlignment="1" applyFont="1" applyNumberFormat="1">
      <alignment horizontal="right" readingOrder="0" shrinkToFit="0" wrapText="0"/>
    </xf>
    <xf borderId="0" fillId="0" fontId="4" numFmtId="0" xfId="0" applyAlignment="1" applyFont="1">
      <alignment horizontal="left" shrinkToFit="0" wrapText="0"/>
    </xf>
    <xf borderId="0" fillId="0" fontId="5" numFmtId="0" xfId="0" applyAlignment="1" applyFont="1">
      <alignment horizontal="left" readingOrder="0" shrinkToFit="0" wrapText="0"/>
    </xf>
    <xf borderId="0" fillId="0" fontId="5" numFmtId="0" xfId="0" applyAlignment="1" applyFont="1">
      <alignment horizontal="left" shrinkToFit="0" wrapText="0"/>
    </xf>
    <xf borderId="0" fillId="0" fontId="5" numFmtId="165" xfId="0" applyAlignment="1" applyFont="1" applyNumberFormat="1">
      <alignment horizontal="right" readingOrder="0" shrinkToFit="0" wrapText="0"/>
    </xf>
    <xf borderId="0" fillId="0" fontId="3" numFmtId="166" xfId="0" applyAlignment="1" applyFont="1" applyNumberFormat="1">
      <alignment horizontal="right" readingOrder="0" shrinkToFit="0" wrapText="0"/>
    </xf>
    <xf borderId="0" fillId="0" fontId="3" numFmtId="3" xfId="0" applyAlignment="1" applyFont="1" applyNumberFormat="1">
      <alignment horizontal="left" readingOrder="0" shrinkToFit="0" wrapText="0"/>
    </xf>
    <xf borderId="0" fillId="0" fontId="6" numFmtId="164" xfId="0" applyAlignment="1" applyFont="1" applyNumberFormat="1">
      <alignment horizontal="right"/>
    </xf>
    <xf borderId="0" fillId="0" fontId="2" numFmtId="0" xfId="0" applyAlignment="1" applyFont="1">
      <alignment horizontal="center" shrinkToFit="0" wrapText="0"/>
    </xf>
    <xf borderId="0" fillId="0" fontId="3" numFmtId="0" xfId="0" applyAlignment="1" applyFont="1">
      <alignment horizontal="center" readingOrder="0" shrinkToFit="0" wrapText="0"/>
    </xf>
    <xf borderId="0" fillId="2" fontId="3" numFmtId="0" xfId="0" applyAlignment="1" applyFill="1" applyFont="1">
      <alignment horizontal="left" readingOrder="0" shrinkToFit="0" wrapText="0"/>
    </xf>
    <xf borderId="0" fillId="0" fontId="3" numFmtId="165" xfId="0" applyAlignment="1" applyFont="1" applyNumberFormat="1">
      <alignment horizontal="center" readingOrder="0" shrinkToFit="0" wrapText="0"/>
    </xf>
    <xf borderId="0" fillId="0" fontId="3" numFmtId="9" xfId="0" applyAlignment="1" applyFont="1" applyNumberFormat="1">
      <alignment horizontal="center" readingOrder="0" shrinkToFit="0" wrapText="0"/>
    </xf>
    <xf borderId="0" fillId="0" fontId="3" numFmtId="4" xfId="0" applyAlignment="1" applyFont="1" applyNumberFormat="1">
      <alignment horizontal="center" readingOrder="0" shrinkToFit="0" wrapText="0"/>
    </xf>
    <xf borderId="0" fillId="0" fontId="2" numFmtId="4" xfId="0" applyAlignment="1" applyFont="1" applyNumberFormat="1">
      <alignment horizontal="center" readingOrder="0" shrinkToFit="0" wrapText="0"/>
    </xf>
    <xf borderId="0" fillId="0" fontId="3" numFmtId="0" xfId="0" applyAlignment="1" applyFont="1">
      <alignment horizontal="center" shrinkToFit="0" wrapText="0"/>
    </xf>
    <xf borderId="0" fillId="0" fontId="3" numFmtId="0" xfId="0" applyAlignment="1" applyFont="1">
      <alignment shrinkToFit="0" wrapText="0"/>
    </xf>
    <xf borderId="0" fillId="0" fontId="2" numFmtId="0" xfId="0" applyAlignment="1" applyFont="1">
      <alignment horizontal="center" readingOrder="0" shrinkToFit="0" wrapText="0"/>
    </xf>
    <xf borderId="0" fillId="0" fontId="3" numFmtId="166" xfId="0" applyAlignment="1" applyFont="1" applyNumberFormat="1">
      <alignment horizontal="center" readingOrder="0" shrinkToFit="0" wrapText="0"/>
    </xf>
    <xf borderId="0" fillId="0" fontId="3" numFmtId="9" xfId="0" applyAlignment="1" applyFont="1" applyNumberFormat="1">
      <alignment horizontal="right" readingOrder="0" shrinkToFit="0" wrapText="0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shrinkToFit="0" vertical="bottom" wrapText="0"/>
    </xf>
    <xf borderId="2" fillId="0" fontId="2" numFmtId="0" xfId="0" applyAlignment="1" applyBorder="1" applyFont="1">
      <alignment horizontal="left" readingOrder="0" shrinkToFit="0" wrapText="0"/>
    </xf>
    <xf borderId="2" fillId="0" fontId="3" numFmtId="0" xfId="0" applyAlignment="1" applyBorder="1" applyFont="1">
      <alignment horizontal="center" readingOrder="0" shrinkToFit="0" wrapText="0"/>
    </xf>
    <xf borderId="2" fillId="2" fontId="3" numFmtId="0" xfId="0" applyAlignment="1" applyBorder="1" applyFont="1">
      <alignment horizontal="left" readingOrder="0" shrinkToFit="0" wrapText="0"/>
    </xf>
    <xf borderId="2" fillId="0" fontId="3" numFmtId="166" xfId="0" applyAlignment="1" applyBorder="1" applyFont="1" applyNumberFormat="1">
      <alignment horizontal="center" readingOrder="0" shrinkToFit="0" wrapText="0"/>
    </xf>
    <xf borderId="2" fillId="0" fontId="3" numFmtId="9" xfId="0" applyAlignment="1" applyBorder="1" applyFont="1" applyNumberFormat="1">
      <alignment horizontal="center" readingOrder="0" shrinkToFit="0" wrapText="0"/>
    </xf>
    <xf borderId="2" fillId="0" fontId="3" numFmtId="4" xfId="0" applyAlignment="1" applyBorder="1" applyFont="1" applyNumberFormat="1">
      <alignment horizontal="center" readingOrder="0" shrinkToFit="0" wrapText="0"/>
    </xf>
    <xf borderId="2" fillId="0" fontId="2" numFmtId="4" xfId="0" applyAlignment="1" applyBorder="1" applyFont="1" applyNumberFormat="1">
      <alignment horizontal="center" readingOrder="0" shrinkToFit="0" wrapText="0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7" numFmtId="167" xfId="0" applyAlignment="1" applyFont="1" applyNumberFormat="1">
      <alignment horizontal="center" shrinkToFit="0" vertical="center" wrapText="1"/>
    </xf>
    <xf borderId="0" fillId="0" fontId="7" numFmtId="164" xfId="0" applyAlignment="1" applyFont="1" applyNumberFormat="1">
      <alignment horizontal="right" shrinkToFit="0" vertical="center" wrapText="1"/>
    </xf>
    <xf borderId="0" fillId="0" fontId="7" numFmtId="0" xfId="0" applyAlignment="1" applyFont="1">
      <alignment horizontal="right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3" fontId="9" numFmtId="0" xfId="0" applyAlignment="1" applyFill="1" applyFont="1">
      <alignment readingOrder="0" shrinkToFit="0" vertical="center" wrapText="1"/>
    </xf>
    <xf borderId="0" fillId="0" fontId="8" numFmtId="0" xfId="0" applyAlignment="1" applyFont="1">
      <alignment shrinkToFit="0" vertical="center" wrapText="1"/>
    </xf>
    <xf borderId="2" fillId="0" fontId="8" numFmtId="0" xfId="0" applyAlignment="1" applyBorder="1" applyFont="1">
      <alignment shrinkToFit="0" vertical="center" wrapText="1"/>
    </xf>
    <xf borderId="2" fillId="0" fontId="8" numFmtId="0" xfId="0" applyAlignment="1" applyBorder="1" applyFont="1">
      <alignment horizontal="left" shrinkToFit="0" vertical="center" wrapText="1"/>
    </xf>
    <xf borderId="2" fillId="0" fontId="8" numFmtId="0" xfId="0" applyAlignment="1" applyBorder="1" applyFont="1">
      <alignment readingOrder="0" shrinkToFit="0" vertical="center" wrapText="1"/>
    </xf>
    <xf borderId="2" fillId="0" fontId="8" numFmtId="0" xfId="0" applyAlignment="1" applyBorder="1" applyFont="1">
      <alignment horizontal="center" readingOrder="0" shrinkToFit="0" vertical="center" wrapText="1"/>
    </xf>
    <xf borderId="2" fillId="0" fontId="8" numFmtId="164" xfId="0" applyAlignment="1" applyBorder="1" applyFont="1" applyNumberFormat="1">
      <alignment horizontal="right" readingOrder="0" shrinkToFit="0" vertical="center" wrapText="1"/>
    </xf>
    <xf borderId="0" fillId="0" fontId="7" numFmtId="164" xfId="0" applyAlignment="1" applyFont="1" applyNumberFormat="1">
      <alignment horizontal="right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7" numFmtId="167" xfId="0" applyAlignment="1" applyFont="1" applyNumberFormat="1">
      <alignment horizontal="center" readingOrder="0" shrinkToFit="0" vertical="center" wrapText="1"/>
    </xf>
    <xf borderId="2" fillId="0" fontId="7" numFmtId="0" xfId="0" applyAlignment="1" applyBorder="1" applyFont="1">
      <alignment readingOrder="0" shrinkToFit="0" vertical="center" wrapText="1"/>
    </xf>
    <xf borderId="2" fillId="0" fontId="7" numFmtId="0" xfId="0" applyAlignment="1" applyBorder="1" applyFont="1">
      <alignment horizontal="left" readingOrder="0" shrinkToFit="0" vertical="center" wrapText="1"/>
    </xf>
    <xf borderId="2" fillId="0" fontId="7" numFmtId="167" xfId="0" applyAlignment="1" applyBorder="1" applyFont="1" applyNumberFormat="1">
      <alignment horizontal="center" readingOrder="0" shrinkToFit="0" vertical="center" wrapText="1"/>
    </xf>
    <xf borderId="2" fillId="0" fontId="7" numFmtId="164" xfId="0" applyAlignment="1" applyBorder="1" applyFont="1" applyNumberFormat="1">
      <alignment horizontal="right" readingOrder="0" shrinkToFit="0" vertical="center" wrapText="1"/>
    </xf>
    <xf borderId="0" fillId="0" fontId="8" numFmtId="164" xfId="0" applyAlignment="1" applyFont="1" applyNumberFormat="1">
      <alignment horizontal="right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3" fillId="0" fontId="7" numFmtId="0" xfId="0" applyAlignment="1" applyBorder="1" applyFont="1">
      <alignment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3" fillId="0" fontId="7" numFmtId="167" xfId="0" applyAlignment="1" applyBorder="1" applyFont="1" applyNumberFormat="1">
      <alignment horizontal="center" shrinkToFit="0" vertical="center" wrapText="1"/>
    </xf>
    <xf borderId="3" fillId="0" fontId="8" numFmtId="164" xfId="0" applyAlignment="1" applyBorder="1" applyFont="1" applyNumberFormat="1">
      <alignment horizontal="right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2" fillId="0" fontId="7" numFmtId="0" xfId="0" applyAlignment="1" applyBorder="1" applyFont="1">
      <alignment readingOrder="0" shrinkToFit="0" vertical="center" wrapText="1"/>
    </xf>
    <xf borderId="0" fillId="0" fontId="7" numFmtId="0" xfId="0" applyFont="1"/>
    <xf borderId="0" fillId="0" fontId="7" numFmtId="0" xfId="0" applyAlignment="1" applyFont="1">
      <alignment horizontal="left"/>
    </xf>
    <xf borderId="0" fillId="4" fontId="7" numFmtId="0" xfId="0" applyFill="1" applyFont="1"/>
    <xf borderId="0" fillId="0" fontId="7" numFmtId="167" xfId="0" applyAlignment="1" applyFont="1" applyNumberFormat="1">
      <alignment horizontal="center"/>
    </xf>
    <xf borderId="0" fillId="0" fontId="7" numFmtId="164" xfId="0" applyAlignment="1" applyFont="1" applyNumberFormat="1">
      <alignment horizontal="right"/>
    </xf>
    <xf borderId="0" fillId="0" fontId="7" numFmtId="0" xfId="0" applyAlignment="1" applyFont="1">
      <alignment horizontal="right"/>
    </xf>
    <xf borderId="0" fillId="0" fontId="8" numFmtId="0" xfId="0" applyAlignment="1" applyFont="1">
      <alignment readingOrder="0"/>
    </xf>
    <xf borderId="0" fillId="3" fontId="9" numFmtId="0" xfId="0" applyAlignment="1" applyFont="1">
      <alignment readingOrder="0"/>
    </xf>
    <xf borderId="0" fillId="0" fontId="8" numFmtId="0" xfId="0" applyFont="1"/>
    <xf borderId="2" fillId="0" fontId="8" numFmtId="0" xfId="0" applyAlignment="1" applyBorder="1" applyFont="1">
      <alignment readingOrder="0"/>
    </xf>
    <xf borderId="2" fillId="0" fontId="8" numFmtId="0" xfId="0" applyAlignment="1" applyBorder="1" applyFont="1">
      <alignment horizontal="left" readingOrder="0"/>
    </xf>
    <xf borderId="2" fillId="4" fontId="8" numFmtId="0" xfId="0" applyAlignment="1" applyBorder="1" applyFont="1">
      <alignment readingOrder="0"/>
    </xf>
    <xf borderId="2" fillId="4" fontId="8" numFmtId="0" xfId="0" applyAlignment="1" applyBorder="1" applyFont="1">
      <alignment readingOrder="0"/>
    </xf>
    <xf borderId="2" fillId="0" fontId="8" numFmtId="0" xfId="0" applyAlignment="1" applyBorder="1" applyFont="1">
      <alignment readingOrder="0"/>
    </xf>
    <xf borderId="2" fillId="0" fontId="8" numFmtId="0" xfId="0" applyAlignment="1" applyBorder="1" applyFont="1">
      <alignment horizontal="center" readingOrder="0"/>
    </xf>
    <xf borderId="2" fillId="0" fontId="8" numFmtId="164" xfId="0" applyAlignment="1" applyBorder="1" applyFont="1" applyNumberFormat="1">
      <alignment horizontal="right" readingOrder="0"/>
    </xf>
    <xf borderId="0" fillId="0" fontId="7" numFmtId="164" xfId="0" applyAlignment="1" applyFont="1" applyNumberFormat="1">
      <alignment horizontal="right" readingOrder="0"/>
    </xf>
    <xf borderId="0" fillId="0" fontId="7" numFmtId="0" xfId="0" applyAlignment="1" applyFont="1">
      <alignment readingOrder="0"/>
    </xf>
    <xf borderId="0" fillId="0" fontId="7" numFmtId="0" xfId="0" applyAlignment="1" applyFont="1">
      <alignment horizontal="left" readingOrder="0"/>
    </xf>
    <xf borderId="0" fillId="4" fontId="7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0" xfId="0" applyAlignment="1" applyFont="1">
      <alignment horizontal="left" readingOrder="0"/>
    </xf>
    <xf borderId="2" fillId="0" fontId="7" numFmtId="0" xfId="0" applyAlignment="1" applyBorder="1" applyFont="1">
      <alignment readingOrder="0"/>
    </xf>
    <xf borderId="2" fillId="0" fontId="7" numFmtId="0" xfId="0" applyAlignment="1" applyBorder="1" applyFont="1">
      <alignment horizontal="left" readingOrder="0"/>
    </xf>
    <xf borderId="2" fillId="4" fontId="7" numFmtId="0" xfId="0" applyAlignment="1" applyBorder="1" applyFont="1">
      <alignment readingOrder="0"/>
    </xf>
    <xf borderId="2" fillId="4" fontId="7" numFmtId="0" xfId="0" applyBorder="1" applyFont="1"/>
    <xf borderId="2" fillId="0" fontId="7" numFmtId="167" xfId="0" applyAlignment="1" applyBorder="1" applyFont="1" applyNumberFormat="1">
      <alignment horizontal="center"/>
    </xf>
    <xf borderId="2" fillId="0" fontId="7" numFmtId="164" xfId="0" applyAlignment="1" applyBorder="1" applyFont="1" applyNumberFormat="1">
      <alignment horizontal="right"/>
    </xf>
    <xf borderId="0" fillId="0" fontId="7" numFmtId="4" xfId="0" applyAlignment="1" applyFont="1" applyNumberFormat="1">
      <alignment horizontal="center" readingOrder="0"/>
    </xf>
    <xf borderId="0" fillId="0" fontId="8" numFmtId="164" xfId="0" applyAlignment="1" applyFont="1" applyNumberFormat="1">
      <alignment horizontal="right"/>
    </xf>
    <xf borderId="2" fillId="0" fontId="8" numFmtId="0" xfId="0" applyBorder="1" applyFont="1"/>
    <xf borderId="2" fillId="0" fontId="8" numFmtId="0" xfId="0" applyAlignment="1" applyBorder="1" applyFont="1">
      <alignment horizontal="left"/>
    </xf>
    <xf borderId="2" fillId="4" fontId="8" numFmtId="0" xfId="0" applyBorder="1" applyFont="1"/>
    <xf borderId="2" fillId="4" fontId="8" numFmtId="0" xfId="0" applyBorder="1" applyFont="1"/>
    <xf borderId="2" fillId="0" fontId="8" numFmtId="0" xfId="0" applyBorder="1" applyFont="1"/>
    <xf borderId="2" fillId="0" fontId="8" numFmtId="0" xfId="0" applyAlignment="1" applyBorder="1" applyFont="1">
      <alignment horizontal="center"/>
    </xf>
    <xf borderId="2" fillId="0" fontId="7" numFmtId="0" xfId="0" applyAlignment="1" applyBorder="1" applyFont="1">
      <alignment readingOrder="0"/>
    </xf>
    <xf borderId="2" fillId="0" fontId="7" numFmtId="0" xfId="0" applyAlignment="1" applyBorder="1" applyFont="1">
      <alignment horizontal="left"/>
    </xf>
    <xf borderId="2" fillId="0" fontId="7" numFmtId="0" xfId="0" applyBorder="1" applyFont="1"/>
    <xf borderId="0" fillId="0" fontId="8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63"/>
    <col customWidth="1" min="5" max="5" width="5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4" t="s">
        <v>12</v>
      </c>
      <c r="B2" s="5" t="s">
        <v>13</v>
      </c>
      <c r="C2" s="5" t="s">
        <v>14</v>
      </c>
      <c r="D2" s="6"/>
      <c r="E2" s="5" t="s">
        <v>15</v>
      </c>
      <c r="F2" s="7">
        <v>42641.0</v>
      </c>
      <c r="G2" s="8">
        <v>579.24</v>
      </c>
      <c r="H2" s="9">
        <v>579.24</v>
      </c>
      <c r="I2" s="9" t="s">
        <v>16</v>
      </c>
      <c r="J2" s="9" t="s">
        <v>16</v>
      </c>
      <c r="K2" s="9" t="s">
        <v>16</v>
      </c>
      <c r="L2" s="9" t="s">
        <v>16</v>
      </c>
    </row>
    <row r="3">
      <c r="A3" s="4" t="s">
        <v>17</v>
      </c>
      <c r="B3" s="10"/>
      <c r="C3" s="11" t="s">
        <v>14</v>
      </c>
      <c r="D3" s="12"/>
      <c r="E3" s="11" t="s">
        <v>18</v>
      </c>
      <c r="F3" s="13">
        <v>42641.0</v>
      </c>
      <c r="G3" s="8">
        <v>138.01</v>
      </c>
      <c r="H3" s="9">
        <v>138.01</v>
      </c>
      <c r="I3" s="9" t="s">
        <v>16</v>
      </c>
      <c r="J3" s="9" t="s">
        <v>16</v>
      </c>
      <c r="K3" s="9" t="s">
        <v>16</v>
      </c>
      <c r="L3" s="9" t="s">
        <v>16</v>
      </c>
    </row>
    <row r="4">
      <c r="A4" s="4" t="s">
        <v>19</v>
      </c>
      <c r="B4" s="5">
        <v>11849.0</v>
      </c>
      <c r="C4" s="5" t="s">
        <v>14</v>
      </c>
      <c r="D4" s="5" t="s">
        <v>20</v>
      </c>
      <c r="E4" s="11" t="s">
        <v>14</v>
      </c>
      <c r="F4" s="7">
        <v>42529.0</v>
      </c>
      <c r="G4" s="8">
        <v>877.5</v>
      </c>
      <c r="H4" s="9">
        <v>877.5</v>
      </c>
      <c r="I4" s="9" t="s">
        <v>16</v>
      </c>
      <c r="J4" s="9" t="s">
        <v>16</v>
      </c>
      <c r="K4" s="9" t="s">
        <v>16</v>
      </c>
      <c r="L4" s="9" t="s">
        <v>16</v>
      </c>
    </row>
    <row r="5">
      <c r="A5" s="4" t="s">
        <v>19</v>
      </c>
      <c r="B5" s="5">
        <v>38.0</v>
      </c>
      <c r="C5" s="5" t="s">
        <v>14</v>
      </c>
      <c r="D5" s="5" t="s">
        <v>21</v>
      </c>
      <c r="E5" s="11" t="s">
        <v>14</v>
      </c>
      <c r="F5" s="7">
        <v>42611.0</v>
      </c>
      <c r="G5" s="8">
        <v>1000.0</v>
      </c>
      <c r="H5" s="9">
        <v>1000.0</v>
      </c>
      <c r="I5" s="9" t="s">
        <v>16</v>
      </c>
      <c r="J5" s="9" t="s">
        <v>16</v>
      </c>
      <c r="K5" s="9" t="s">
        <v>16</v>
      </c>
      <c r="L5" s="9" t="s">
        <v>16</v>
      </c>
    </row>
    <row r="6">
      <c r="A6" s="4" t="s">
        <v>19</v>
      </c>
      <c r="B6" s="5">
        <v>48.0</v>
      </c>
      <c r="C6" s="5" t="s">
        <v>14</v>
      </c>
      <c r="D6" s="5" t="s">
        <v>21</v>
      </c>
      <c r="E6" s="11" t="s">
        <v>14</v>
      </c>
      <c r="F6" s="14">
        <v>42654.0</v>
      </c>
      <c r="G6" s="8">
        <v>89.0</v>
      </c>
      <c r="H6" s="9">
        <v>89.0</v>
      </c>
      <c r="I6" s="9" t="s">
        <v>16</v>
      </c>
      <c r="J6" s="9" t="s">
        <v>16</v>
      </c>
      <c r="K6" s="9" t="s">
        <v>16</v>
      </c>
      <c r="L6" s="9" t="s">
        <v>16</v>
      </c>
    </row>
    <row r="7">
      <c r="A7" s="4" t="s">
        <v>19</v>
      </c>
      <c r="B7" s="5">
        <v>776332.0</v>
      </c>
      <c r="C7" s="5" t="s">
        <v>14</v>
      </c>
      <c r="D7" s="5" t="s">
        <v>22</v>
      </c>
      <c r="E7" s="5" t="s">
        <v>23</v>
      </c>
      <c r="F7" s="7">
        <v>42633.0</v>
      </c>
      <c r="G7" s="8">
        <v>105.6</v>
      </c>
      <c r="H7" s="9">
        <v>105.6</v>
      </c>
      <c r="I7" s="9" t="s">
        <v>16</v>
      </c>
      <c r="J7" s="9" t="s">
        <v>16</v>
      </c>
      <c r="K7" s="9" t="s">
        <v>16</v>
      </c>
      <c r="L7" s="9" t="s">
        <v>16</v>
      </c>
    </row>
    <row r="8">
      <c r="A8" s="4" t="s">
        <v>19</v>
      </c>
      <c r="B8" s="5">
        <v>5270.0</v>
      </c>
      <c r="C8" s="5" t="s">
        <v>14</v>
      </c>
      <c r="D8" s="5" t="s">
        <v>24</v>
      </c>
      <c r="E8" s="5" t="s">
        <v>25</v>
      </c>
      <c r="F8" s="7">
        <v>42520.0</v>
      </c>
      <c r="G8" s="8">
        <v>1323.55</v>
      </c>
      <c r="H8" s="9">
        <v>1323.55</v>
      </c>
      <c r="I8" s="9" t="s">
        <v>16</v>
      </c>
      <c r="J8" s="9" t="s">
        <v>16</v>
      </c>
      <c r="K8" s="9" t="s">
        <v>16</v>
      </c>
      <c r="L8" s="9" t="s">
        <v>16</v>
      </c>
    </row>
    <row r="9">
      <c r="A9" s="4" t="s">
        <v>19</v>
      </c>
      <c r="B9" s="5">
        <v>6739.0</v>
      </c>
      <c r="C9" s="5" t="s">
        <v>26</v>
      </c>
      <c r="D9" s="5" t="s">
        <v>27</v>
      </c>
      <c r="E9" s="5" t="s">
        <v>28</v>
      </c>
      <c r="F9" s="7">
        <v>42675.0</v>
      </c>
      <c r="G9" s="8">
        <v>240.0</v>
      </c>
      <c r="H9" s="9">
        <v>240.0</v>
      </c>
      <c r="I9" s="9" t="s">
        <v>16</v>
      </c>
      <c r="J9" s="9" t="s">
        <v>16</v>
      </c>
      <c r="K9" s="9" t="s">
        <v>16</v>
      </c>
      <c r="L9" s="9" t="s">
        <v>16</v>
      </c>
    </row>
    <row r="10">
      <c r="A10" s="4" t="s">
        <v>19</v>
      </c>
      <c r="B10" s="5">
        <v>3957.0</v>
      </c>
      <c r="C10" s="5" t="s">
        <v>29</v>
      </c>
      <c r="D10" s="5" t="s">
        <v>30</v>
      </c>
      <c r="E10" s="5" t="s">
        <v>31</v>
      </c>
      <c r="F10" s="7">
        <v>42639.0</v>
      </c>
      <c r="G10" s="8">
        <v>627.6</v>
      </c>
      <c r="H10" s="9">
        <v>627.6</v>
      </c>
      <c r="I10" s="9" t="s">
        <v>16</v>
      </c>
      <c r="J10" s="9" t="s">
        <v>16</v>
      </c>
      <c r="K10" s="9" t="s">
        <v>16</v>
      </c>
      <c r="L10" s="9" t="s">
        <v>16</v>
      </c>
    </row>
    <row r="11">
      <c r="A11" s="4" t="s">
        <v>19</v>
      </c>
      <c r="B11" s="5">
        <v>2162.0</v>
      </c>
      <c r="C11" s="5" t="s">
        <v>32</v>
      </c>
      <c r="D11" s="5" t="s">
        <v>33</v>
      </c>
      <c r="E11" s="5" t="s">
        <v>34</v>
      </c>
      <c r="F11" s="7">
        <v>42706.0</v>
      </c>
      <c r="G11" s="8">
        <v>127.68</v>
      </c>
      <c r="H11" s="9">
        <v>127.68</v>
      </c>
      <c r="I11" s="9" t="s">
        <v>16</v>
      </c>
      <c r="J11" s="9" t="s">
        <v>16</v>
      </c>
      <c r="K11" s="9" t="s">
        <v>16</v>
      </c>
      <c r="L11" s="9" t="s">
        <v>16</v>
      </c>
    </row>
    <row r="12">
      <c r="A12" s="4" t="s">
        <v>35</v>
      </c>
      <c r="B12" s="5">
        <v>422135.0</v>
      </c>
      <c r="C12" s="5" t="s">
        <v>36</v>
      </c>
      <c r="D12" s="6"/>
      <c r="E12" s="5" t="s">
        <v>37</v>
      </c>
      <c r="F12" s="7">
        <v>42605.0</v>
      </c>
      <c r="G12" s="8">
        <v>41.25</v>
      </c>
      <c r="H12" s="9">
        <v>41.25</v>
      </c>
      <c r="I12" s="9" t="s">
        <v>16</v>
      </c>
      <c r="J12" s="9" t="s">
        <v>16</v>
      </c>
      <c r="K12" s="9" t="s">
        <v>16</v>
      </c>
      <c r="L12" s="9" t="s">
        <v>16</v>
      </c>
    </row>
    <row r="13">
      <c r="A13" s="4" t="s">
        <v>38</v>
      </c>
      <c r="B13" s="5" t="s">
        <v>39</v>
      </c>
      <c r="C13" s="5" t="s">
        <v>36</v>
      </c>
      <c r="D13" s="6"/>
      <c r="E13" s="5" t="s">
        <v>40</v>
      </c>
      <c r="F13" s="7">
        <v>42576.0</v>
      </c>
      <c r="G13" s="8">
        <v>436.44</v>
      </c>
      <c r="H13" s="9">
        <v>436.44</v>
      </c>
      <c r="I13" s="9" t="s">
        <v>16</v>
      </c>
      <c r="J13" s="9" t="s">
        <v>16</v>
      </c>
      <c r="K13" s="9" t="s">
        <v>16</v>
      </c>
      <c r="L13" s="9" t="s">
        <v>16</v>
      </c>
    </row>
    <row r="14">
      <c r="A14" s="4" t="s">
        <v>41</v>
      </c>
      <c r="B14" s="5" t="s">
        <v>42</v>
      </c>
      <c r="C14" s="5" t="s">
        <v>43</v>
      </c>
      <c r="D14" s="5" t="s">
        <v>44</v>
      </c>
      <c r="E14" s="5" t="s">
        <v>45</v>
      </c>
      <c r="F14" s="7">
        <v>42432.0</v>
      </c>
      <c r="G14" s="8">
        <v>107.33</v>
      </c>
      <c r="H14" s="9" t="s">
        <v>16</v>
      </c>
      <c r="I14" s="9">
        <v>107.33</v>
      </c>
      <c r="J14" s="9" t="s">
        <v>16</v>
      </c>
      <c r="K14" s="9" t="s">
        <v>16</v>
      </c>
      <c r="L14" s="9" t="s">
        <v>16</v>
      </c>
    </row>
    <row r="15">
      <c r="A15" s="4" t="s">
        <v>19</v>
      </c>
      <c r="B15" s="5">
        <v>2177.0</v>
      </c>
      <c r="C15" s="5" t="s">
        <v>46</v>
      </c>
      <c r="D15" s="6"/>
      <c r="E15" s="5" t="s">
        <v>47</v>
      </c>
      <c r="F15" s="14">
        <v>42719.0</v>
      </c>
      <c r="G15" s="8">
        <v>415.6</v>
      </c>
      <c r="H15" s="9" t="s">
        <v>16</v>
      </c>
      <c r="I15" s="9">
        <v>415.6</v>
      </c>
      <c r="J15" s="9" t="s">
        <v>16</v>
      </c>
      <c r="K15" s="9" t="s">
        <v>16</v>
      </c>
      <c r="L15" s="9" t="s">
        <v>16</v>
      </c>
    </row>
    <row r="16">
      <c r="A16" s="4" t="s">
        <v>48</v>
      </c>
      <c r="B16" s="5">
        <v>71047.0</v>
      </c>
      <c r="C16" s="5" t="s">
        <v>49</v>
      </c>
      <c r="D16" s="5" t="s">
        <v>50</v>
      </c>
      <c r="E16" s="5" t="s">
        <v>34</v>
      </c>
      <c r="F16" s="14">
        <v>42664.0</v>
      </c>
      <c r="G16" s="8">
        <v>77.49</v>
      </c>
      <c r="H16" s="9">
        <v>77.49</v>
      </c>
      <c r="I16" s="9" t="s">
        <v>16</v>
      </c>
      <c r="J16" s="9" t="s">
        <v>16</v>
      </c>
      <c r="K16" s="9" t="s">
        <v>16</v>
      </c>
      <c r="L16" s="9" t="s">
        <v>16</v>
      </c>
    </row>
    <row r="17">
      <c r="A17" s="4" t="s">
        <v>17</v>
      </c>
      <c r="B17" s="6"/>
      <c r="C17" s="5" t="s">
        <v>51</v>
      </c>
      <c r="D17" s="6"/>
      <c r="E17" s="5" t="s">
        <v>52</v>
      </c>
      <c r="F17" s="14">
        <v>42667.0</v>
      </c>
      <c r="G17" s="8">
        <v>315.63</v>
      </c>
      <c r="H17" s="9">
        <v>315.63</v>
      </c>
      <c r="I17" s="9" t="s">
        <v>16</v>
      </c>
      <c r="J17" s="9" t="s">
        <v>16</v>
      </c>
      <c r="K17" s="9" t="s">
        <v>16</v>
      </c>
      <c r="L17" s="9" t="s">
        <v>16</v>
      </c>
    </row>
    <row r="18">
      <c r="A18" s="4" t="s">
        <v>19</v>
      </c>
      <c r="B18" s="5">
        <v>158262.0</v>
      </c>
      <c r="C18" s="5" t="s">
        <v>53</v>
      </c>
      <c r="D18" s="5" t="s">
        <v>54</v>
      </c>
      <c r="E18" s="5" t="s">
        <v>55</v>
      </c>
      <c r="F18" s="7">
        <v>42554.0</v>
      </c>
      <c r="G18" s="8">
        <v>25.18</v>
      </c>
      <c r="H18" s="9" t="s">
        <v>16</v>
      </c>
      <c r="I18" s="9">
        <v>25.18</v>
      </c>
      <c r="J18" s="9" t="s">
        <v>16</v>
      </c>
      <c r="K18" s="9" t="s">
        <v>16</v>
      </c>
      <c r="L18" s="9" t="s">
        <v>16</v>
      </c>
    </row>
    <row r="19">
      <c r="A19" s="4" t="s">
        <v>56</v>
      </c>
      <c r="B19" s="6"/>
      <c r="C19" s="5" t="s">
        <v>57</v>
      </c>
      <c r="D19" s="6"/>
      <c r="E19" s="5" t="s">
        <v>58</v>
      </c>
      <c r="F19" s="7">
        <v>42607.0</v>
      </c>
      <c r="G19" s="8">
        <v>347.04</v>
      </c>
      <c r="H19" s="9" t="s">
        <v>16</v>
      </c>
      <c r="I19" s="9">
        <v>347.04</v>
      </c>
      <c r="J19" s="9" t="s">
        <v>16</v>
      </c>
      <c r="K19" s="9" t="s">
        <v>16</v>
      </c>
      <c r="L19" s="9" t="s">
        <v>16</v>
      </c>
    </row>
    <row r="20">
      <c r="A20" s="4" t="s">
        <v>35</v>
      </c>
      <c r="B20" s="5">
        <v>411869.0</v>
      </c>
      <c r="C20" s="5" t="s">
        <v>59</v>
      </c>
      <c r="D20" s="6"/>
      <c r="E20" s="5" t="s">
        <v>60</v>
      </c>
      <c r="F20" s="7">
        <v>42598.0</v>
      </c>
      <c r="G20" s="8">
        <v>4198.47</v>
      </c>
      <c r="H20" s="9">
        <v>1399.49</v>
      </c>
      <c r="I20" s="9" t="s">
        <v>16</v>
      </c>
      <c r="J20" s="9">
        <v>2798.98</v>
      </c>
      <c r="K20" s="9" t="s">
        <v>16</v>
      </c>
      <c r="L20" s="9" t="s">
        <v>16</v>
      </c>
    </row>
    <row r="21">
      <c r="A21" s="4" t="s">
        <v>12</v>
      </c>
      <c r="B21" s="5" t="s">
        <v>61</v>
      </c>
      <c r="C21" s="5" t="s">
        <v>11</v>
      </c>
      <c r="D21" s="6"/>
      <c r="E21" s="5" t="s">
        <v>62</v>
      </c>
      <c r="F21" s="7">
        <v>42626.0</v>
      </c>
      <c r="G21" s="8">
        <v>350.0</v>
      </c>
      <c r="H21" s="9" t="s">
        <v>16</v>
      </c>
      <c r="I21" s="9" t="s">
        <v>16</v>
      </c>
      <c r="J21" s="9" t="s">
        <v>16</v>
      </c>
      <c r="K21" s="9" t="s">
        <v>16</v>
      </c>
      <c r="L21" s="9">
        <v>350.0</v>
      </c>
    </row>
    <row r="22">
      <c r="A22" s="4" t="s">
        <v>63</v>
      </c>
      <c r="B22" s="15">
        <v>1.167152312E9</v>
      </c>
      <c r="C22" s="5" t="s">
        <v>11</v>
      </c>
      <c r="D22" s="6"/>
      <c r="E22" s="5" t="s">
        <v>64</v>
      </c>
      <c r="F22" s="7">
        <v>42681.0</v>
      </c>
      <c r="G22" s="8">
        <v>290.0</v>
      </c>
      <c r="H22" s="9" t="s">
        <v>16</v>
      </c>
      <c r="I22" s="9" t="s">
        <v>16</v>
      </c>
      <c r="J22" s="9" t="s">
        <v>16</v>
      </c>
      <c r="K22" s="9" t="s">
        <v>16</v>
      </c>
      <c r="L22" s="9">
        <v>290.0</v>
      </c>
    </row>
    <row r="23">
      <c r="A23" s="4" t="s">
        <v>12</v>
      </c>
      <c r="B23" s="5" t="s">
        <v>65</v>
      </c>
      <c r="C23" s="5" t="s">
        <v>11</v>
      </c>
      <c r="D23" s="6"/>
      <c r="E23" s="5" t="s">
        <v>66</v>
      </c>
      <c r="F23" s="7">
        <v>42681.0</v>
      </c>
      <c r="G23" s="8">
        <v>396.12</v>
      </c>
      <c r="H23" s="9" t="s">
        <v>16</v>
      </c>
      <c r="I23" s="9" t="s">
        <v>16</v>
      </c>
      <c r="J23" s="9" t="s">
        <v>16</v>
      </c>
      <c r="K23" s="9" t="s">
        <v>16</v>
      </c>
      <c r="L23" s="9">
        <v>396.12</v>
      </c>
    </row>
    <row r="24">
      <c r="A24" s="4" t="s">
        <v>67</v>
      </c>
      <c r="B24" s="5" t="s">
        <v>68</v>
      </c>
      <c r="C24" s="5" t="s">
        <v>11</v>
      </c>
      <c r="D24" s="6"/>
      <c r="E24" s="5" t="s">
        <v>69</v>
      </c>
      <c r="F24" s="7">
        <v>42425.0</v>
      </c>
      <c r="G24" s="8">
        <v>773.78</v>
      </c>
      <c r="H24" s="9" t="s">
        <v>16</v>
      </c>
      <c r="I24" s="9" t="s">
        <v>16</v>
      </c>
      <c r="J24" s="9" t="s">
        <v>16</v>
      </c>
      <c r="K24" s="9" t="s">
        <v>16</v>
      </c>
      <c r="L24" s="9">
        <v>773.78</v>
      </c>
    </row>
    <row r="25">
      <c r="A25" s="4" t="s">
        <v>12</v>
      </c>
      <c r="B25" s="5" t="s">
        <v>70</v>
      </c>
      <c r="C25" s="5" t="s">
        <v>11</v>
      </c>
      <c r="D25" s="6"/>
      <c r="E25" s="5" t="s">
        <v>71</v>
      </c>
      <c r="F25" s="7">
        <v>42439.0</v>
      </c>
      <c r="G25" s="8">
        <v>695.28</v>
      </c>
      <c r="H25" s="9" t="s">
        <v>16</v>
      </c>
      <c r="I25" s="9" t="s">
        <v>16</v>
      </c>
      <c r="J25" s="9" t="s">
        <v>16</v>
      </c>
      <c r="K25" s="9" t="s">
        <v>16</v>
      </c>
      <c r="L25" s="9">
        <v>695.28</v>
      </c>
    </row>
    <row r="26">
      <c r="A26" s="4" t="s">
        <v>17</v>
      </c>
      <c r="B26" s="6"/>
      <c r="C26" s="5" t="s">
        <v>11</v>
      </c>
      <c r="D26" s="6"/>
      <c r="E26" s="5" t="s">
        <v>72</v>
      </c>
      <c r="F26" s="7">
        <v>42439.0</v>
      </c>
      <c r="G26" s="8">
        <v>261.7</v>
      </c>
      <c r="H26" s="9" t="s">
        <v>16</v>
      </c>
      <c r="I26" s="9" t="s">
        <v>16</v>
      </c>
      <c r="J26" s="9" t="s">
        <v>16</v>
      </c>
      <c r="K26" s="9" t="s">
        <v>16</v>
      </c>
      <c r="L26" s="9">
        <v>261.7</v>
      </c>
    </row>
    <row r="27">
      <c r="A27" s="4" t="s">
        <v>12</v>
      </c>
      <c r="B27" s="5" t="s">
        <v>73</v>
      </c>
      <c r="C27" s="5" t="s">
        <v>11</v>
      </c>
      <c r="D27" s="6"/>
      <c r="E27" s="5" t="s">
        <v>74</v>
      </c>
      <c r="F27" s="14">
        <v>42657.0</v>
      </c>
      <c r="G27" s="8">
        <v>555.26</v>
      </c>
      <c r="H27" s="9" t="s">
        <v>16</v>
      </c>
      <c r="I27" s="9" t="s">
        <v>16</v>
      </c>
      <c r="J27" s="9" t="s">
        <v>16</v>
      </c>
      <c r="K27" s="9" t="s">
        <v>16</v>
      </c>
      <c r="L27" s="9">
        <v>555.26</v>
      </c>
    </row>
    <row r="28">
      <c r="A28" s="4" t="s">
        <v>75</v>
      </c>
      <c r="B28" s="6"/>
      <c r="C28" s="5" t="s">
        <v>11</v>
      </c>
      <c r="D28" s="6"/>
      <c r="E28" s="5" t="s">
        <v>76</v>
      </c>
      <c r="F28" s="14">
        <v>42657.0</v>
      </c>
      <c r="G28" s="8">
        <v>130.39</v>
      </c>
      <c r="H28" s="9" t="s">
        <v>16</v>
      </c>
      <c r="I28" s="9" t="s">
        <v>16</v>
      </c>
      <c r="J28" s="9" t="s">
        <v>16</v>
      </c>
      <c r="K28" s="9" t="s">
        <v>16</v>
      </c>
      <c r="L28" s="9">
        <v>130.39</v>
      </c>
    </row>
    <row r="29">
      <c r="A29" s="4" t="s">
        <v>17</v>
      </c>
      <c r="B29" s="6"/>
      <c r="C29" s="5" t="s">
        <v>11</v>
      </c>
      <c r="D29" s="6"/>
      <c r="E29" s="5" t="s">
        <v>77</v>
      </c>
      <c r="F29" s="7">
        <v>42480.0</v>
      </c>
      <c r="G29" s="8">
        <v>165.0</v>
      </c>
      <c r="H29" s="9" t="s">
        <v>16</v>
      </c>
      <c r="I29" s="9" t="s">
        <v>16</v>
      </c>
      <c r="J29" s="9" t="s">
        <v>16</v>
      </c>
      <c r="K29" s="9" t="s">
        <v>16</v>
      </c>
      <c r="L29" s="9">
        <v>165.0</v>
      </c>
    </row>
    <row r="30">
      <c r="A30" s="4" t="s">
        <v>12</v>
      </c>
      <c r="B30" s="5" t="s">
        <v>78</v>
      </c>
      <c r="C30" s="5" t="s">
        <v>11</v>
      </c>
      <c r="D30" s="6"/>
      <c r="E30" s="5" t="s">
        <v>79</v>
      </c>
      <c r="F30" s="7">
        <v>42480.0</v>
      </c>
      <c r="G30" s="8">
        <v>359.94</v>
      </c>
      <c r="H30" s="9" t="s">
        <v>16</v>
      </c>
      <c r="I30" s="9" t="s">
        <v>16</v>
      </c>
      <c r="J30" s="9" t="s">
        <v>16</v>
      </c>
      <c r="K30" s="9" t="s">
        <v>16</v>
      </c>
      <c r="L30" s="9">
        <v>359.94</v>
      </c>
    </row>
    <row r="31">
      <c r="A31" s="4" t="s">
        <v>12</v>
      </c>
      <c r="B31" s="5" t="s">
        <v>80</v>
      </c>
      <c r="C31" s="5" t="s">
        <v>11</v>
      </c>
      <c r="D31" s="6"/>
      <c r="E31" s="5" t="s">
        <v>81</v>
      </c>
      <c r="F31" s="7">
        <v>42605.0</v>
      </c>
      <c r="G31" s="8">
        <v>411.26</v>
      </c>
      <c r="H31" s="9" t="s">
        <v>16</v>
      </c>
      <c r="I31" s="9" t="s">
        <v>16</v>
      </c>
      <c r="J31" s="9" t="s">
        <v>16</v>
      </c>
      <c r="K31" s="9" t="s">
        <v>16</v>
      </c>
      <c r="L31" s="9">
        <v>411.26</v>
      </c>
    </row>
    <row r="32">
      <c r="A32" s="4" t="s">
        <v>82</v>
      </c>
      <c r="B32" s="5" t="s">
        <v>83</v>
      </c>
      <c r="C32" s="5" t="s">
        <v>11</v>
      </c>
      <c r="D32" s="6"/>
      <c r="E32" s="5" t="s">
        <v>84</v>
      </c>
      <c r="F32" s="14">
        <v>42703.0</v>
      </c>
      <c r="G32" s="8">
        <v>718.73</v>
      </c>
      <c r="H32" s="9" t="s">
        <v>16</v>
      </c>
      <c r="I32" s="9" t="s">
        <v>16</v>
      </c>
      <c r="J32" s="9" t="s">
        <v>16</v>
      </c>
      <c r="K32" s="9" t="s">
        <v>16</v>
      </c>
      <c r="L32" s="9">
        <v>718.73</v>
      </c>
    </row>
    <row r="33">
      <c r="G33" s="16"/>
    </row>
    <row r="34">
      <c r="G34" s="16"/>
    </row>
    <row r="35">
      <c r="G35" s="16"/>
    </row>
    <row r="36">
      <c r="G36" s="16"/>
    </row>
    <row r="37">
      <c r="G37" s="16"/>
    </row>
    <row r="38">
      <c r="G38" s="16"/>
    </row>
    <row r="39">
      <c r="G39" s="16"/>
    </row>
    <row r="40">
      <c r="G40" s="16"/>
    </row>
    <row r="41">
      <c r="G41" s="16"/>
    </row>
    <row r="42">
      <c r="G42" s="16"/>
    </row>
    <row r="43">
      <c r="G43" s="16"/>
    </row>
    <row r="44">
      <c r="G44" s="16"/>
    </row>
    <row r="45">
      <c r="G45" s="16"/>
    </row>
    <row r="46">
      <c r="G46" s="16"/>
    </row>
    <row r="47">
      <c r="G47" s="16"/>
    </row>
    <row r="48">
      <c r="G48" s="16"/>
    </row>
    <row r="49">
      <c r="G49" s="16"/>
    </row>
    <row r="50">
      <c r="G50" s="16"/>
    </row>
    <row r="51">
      <c r="G51" s="16"/>
    </row>
    <row r="52">
      <c r="G52" s="16"/>
    </row>
    <row r="53">
      <c r="G53" s="16"/>
    </row>
    <row r="54">
      <c r="G54" s="16"/>
    </row>
    <row r="55">
      <c r="G55" s="16"/>
    </row>
    <row r="56">
      <c r="G56" s="16"/>
    </row>
    <row r="57">
      <c r="G57" s="16"/>
    </row>
    <row r="58">
      <c r="G58" s="16"/>
    </row>
    <row r="59">
      <c r="G59" s="16"/>
    </row>
    <row r="60">
      <c r="G60" s="16"/>
    </row>
    <row r="61">
      <c r="G61" s="16"/>
    </row>
    <row r="62">
      <c r="G62" s="16"/>
    </row>
    <row r="63">
      <c r="G63" s="16"/>
    </row>
    <row r="64">
      <c r="G64" s="16"/>
    </row>
    <row r="65">
      <c r="G65" s="16"/>
    </row>
    <row r="66">
      <c r="G66" s="16"/>
    </row>
    <row r="67">
      <c r="G67" s="16"/>
    </row>
    <row r="68">
      <c r="G68" s="16"/>
    </row>
    <row r="69">
      <c r="G69" s="16"/>
    </row>
    <row r="70">
      <c r="G70" s="16"/>
    </row>
    <row r="71">
      <c r="G71" s="16"/>
    </row>
    <row r="72">
      <c r="G72" s="16"/>
    </row>
    <row r="73">
      <c r="G73" s="16"/>
    </row>
    <row r="74">
      <c r="G74" s="16"/>
    </row>
    <row r="75">
      <c r="G75" s="16"/>
    </row>
    <row r="76">
      <c r="G76" s="16"/>
    </row>
    <row r="77">
      <c r="G77" s="16"/>
    </row>
    <row r="78">
      <c r="G78" s="16"/>
    </row>
    <row r="79">
      <c r="G79" s="16"/>
    </row>
    <row r="80">
      <c r="G80" s="16"/>
    </row>
    <row r="81">
      <c r="G81" s="16"/>
    </row>
    <row r="82">
      <c r="G82" s="16"/>
    </row>
    <row r="83">
      <c r="G83" s="16"/>
    </row>
    <row r="84">
      <c r="G84" s="16"/>
    </row>
    <row r="85">
      <c r="G85" s="16"/>
    </row>
    <row r="86">
      <c r="G86" s="16"/>
    </row>
    <row r="87">
      <c r="G87" s="16"/>
    </row>
    <row r="88">
      <c r="G88" s="16"/>
    </row>
    <row r="89">
      <c r="G89" s="16"/>
    </row>
    <row r="90">
      <c r="G90" s="16"/>
    </row>
    <row r="91">
      <c r="G91" s="16"/>
    </row>
    <row r="92">
      <c r="G92" s="16"/>
    </row>
    <row r="93">
      <c r="G93" s="16"/>
    </row>
    <row r="94">
      <c r="G94" s="16"/>
    </row>
    <row r="95">
      <c r="G95" s="16"/>
    </row>
    <row r="96">
      <c r="G96" s="16"/>
    </row>
    <row r="97">
      <c r="G97" s="16"/>
    </row>
    <row r="98">
      <c r="G98" s="16"/>
    </row>
    <row r="99">
      <c r="G99" s="16"/>
    </row>
    <row r="100">
      <c r="G100" s="16"/>
    </row>
    <row r="101">
      <c r="G101" s="16"/>
    </row>
    <row r="102">
      <c r="G102" s="16"/>
    </row>
    <row r="103">
      <c r="G103" s="16"/>
    </row>
    <row r="104">
      <c r="G104" s="16"/>
    </row>
    <row r="105">
      <c r="G105" s="16"/>
    </row>
    <row r="106">
      <c r="G106" s="16"/>
    </row>
    <row r="107">
      <c r="G107" s="16"/>
    </row>
    <row r="108">
      <c r="G108" s="16"/>
    </row>
    <row r="109">
      <c r="G109" s="16"/>
    </row>
    <row r="110">
      <c r="G110" s="16"/>
    </row>
    <row r="111">
      <c r="G111" s="16"/>
    </row>
    <row r="112">
      <c r="G112" s="16"/>
    </row>
    <row r="113">
      <c r="G113" s="16"/>
    </row>
    <row r="114">
      <c r="G114" s="16"/>
    </row>
    <row r="115">
      <c r="G115" s="16"/>
    </row>
    <row r="116">
      <c r="G116" s="16"/>
    </row>
    <row r="117">
      <c r="G117" s="16"/>
    </row>
    <row r="118">
      <c r="G118" s="16"/>
    </row>
    <row r="119">
      <c r="G119" s="16"/>
    </row>
    <row r="120">
      <c r="G120" s="16"/>
    </row>
    <row r="121">
      <c r="G121" s="16"/>
    </row>
    <row r="122">
      <c r="G122" s="16"/>
    </row>
    <row r="123">
      <c r="G123" s="16"/>
    </row>
    <row r="124">
      <c r="G124" s="16"/>
    </row>
    <row r="125">
      <c r="G125" s="16"/>
    </row>
    <row r="126">
      <c r="G126" s="16"/>
    </row>
    <row r="127">
      <c r="G127" s="16"/>
    </row>
    <row r="128">
      <c r="G128" s="16"/>
    </row>
    <row r="129">
      <c r="G129" s="16"/>
    </row>
    <row r="130">
      <c r="G130" s="16"/>
    </row>
    <row r="131">
      <c r="G131" s="16"/>
    </row>
    <row r="132">
      <c r="G132" s="16"/>
    </row>
    <row r="133">
      <c r="G133" s="16"/>
    </row>
    <row r="134">
      <c r="G134" s="16"/>
    </row>
    <row r="135">
      <c r="G135" s="16"/>
    </row>
    <row r="136">
      <c r="G136" s="16"/>
    </row>
    <row r="137">
      <c r="G137" s="16"/>
    </row>
    <row r="138">
      <c r="G138" s="16"/>
    </row>
    <row r="139">
      <c r="G139" s="16"/>
    </row>
    <row r="140">
      <c r="G140" s="16"/>
    </row>
    <row r="141">
      <c r="G141" s="16"/>
    </row>
    <row r="142">
      <c r="G142" s="16"/>
    </row>
    <row r="143">
      <c r="G143" s="16"/>
    </row>
    <row r="144">
      <c r="G144" s="16"/>
    </row>
    <row r="145">
      <c r="G145" s="16"/>
    </row>
    <row r="146">
      <c r="G146" s="16"/>
    </row>
    <row r="147">
      <c r="G147" s="16"/>
    </row>
    <row r="148">
      <c r="G148" s="16"/>
    </row>
    <row r="149">
      <c r="G149" s="16"/>
    </row>
    <row r="150">
      <c r="G150" s="16"/>
    </row>
    <row r="151">
      <c r="G151" s="16"/>
    </row>
    <row r="152">
      <c r="G152" s="16"/>
    </row>
    <row r="153">
      <c r="G153" s="16"/>
    </row>
    <row r="154">
      <c r="G154" s="16"/>
    </row>
    <row r="155">
      <c r="G155" s="16"/>
    </row>
    <row r="156">
      <c r="G156" s="16"/>
    </row>
    <row r="157">
      <c r="G157" s="16"/>
    </row>
    <row r="158">
      <c r="G158" s="16"/>
    </row>
    <row r="159">
      <c r="G159" s="16"/>
    </row>
    <row r="160">
      <c r="G160" s="16"/>
    </row>
    <row r="161">
      <c r="G161" s="16"/>
    </row>
    <row r="162">
      <c r="G162" s="16"/>
    </row>
    <row r="163">
      <c r="G163" s="16"/>
    </row>
    <row r="164">
      <c r="G164" s="16"/>
    </row>
    <row r="165">
      <c r="G165" s="16"/>
    </row>
    <row r="166">
      <c r="G166" s="16"/>
    </row>
    <row r="167">
      <c r="G167" s="16"/>
    </row>
    <row r="168">
      <c r="G168" s="16"/>
    </row>
    <row r="169">
      <c r="G169" s="16"/>
    </row>
    <row r="170">
      <c r="G170" s="16"/>
    </row>
    <row r="171">
      <c r="G171" s="16"/>
    </row>
    <row r="172">
      <c r="G172" s="16"/>
    </row>
    <row r="173">
      <c r="G173" s="16"/>
    </row>
    <row r="174">
      <c r="G174" s="16"/>
    </row>
    <row r="175">
      <c r="G175" s="16"/>
    </row>
    <row r="176">
      <c r="G176" s="16"/>
    </row>
    <row r="177">
      <c r="G177" s="16"/>
    </row>
    <row r="178">
      <c r="G178" s="16"/>
    </row>
    <row r="179">
      <c r="G179" s="16"/>
    </row>
    <row r="180">
      <c r="G180" s="16"/>
    </row>
    <row r="181">
      <c r="G181" s="16"/>
    </row>
    <row r="182">
      <c r="G182" s="16"/>
    </row>
    <row r="183">
      <c r="G183" s="16"/>
    </row>
    <row r="184">
      <c r="G184" s="16"/>
    </row>
    <row r="185">
      <c r="G185" s="16"/>
    </row>
    <row r="186">
      <c r="G186" s="16"/>
    </row>
    <row r="187">
      <c r="G187" s="16"/>
    </row>
    <row r="188">
      <c r="G188" s="16"/>
    </row>
    <row r="189">
      <c r="G189" s="16"/>
    </row>
    <row r="190">
      <c r="G190" s="16"/>
    </row>
    <row r="191">
      <c r="G191" s="16"/>
    </row>
    <row r="192">
      <c r="G192" s="16"/>
    </row>
    <row r="193">
      <c r="G193" s="16"/>
    </row>
    <row r="194">
      <c r="G194" s="16"/>
    </row>
    <row r="195">
      <c r="G195" s="16"/>
    </row>
    <row r="196">
      <c r="G196" s="16"/>
    </row>
    <row r="197">
      <c r="G197" s="16"/>
    </row>
    <row r="198">
      <c r="G198" s="16"/>
    </row>
    <row r="199">
      <c r="G199" s="16"/>
    </row>
    <row r="200">
      <c r="G200" s="16"/>
    </row>
    <row r="201">
      <c r="G201" s="16"/>
    </row>
    <row r="202">
      <c r="G202" s="16"/>
    </row>
    <row r="203">
      <c r="G203" s="16"/>
    </row>
    <row r="204">
      <c r="G204" s="16"/>
    </row>
    <row r="205">
      <c r="G205" s="16"/>
    </row>
    <row r="206">
      <c r="G206" s="16"/>
    </row>
    <row r="207">
      <c r="G207" s="16"/>
    </row>
    <row r="208">
      <c r="G208" s="16"/>
    </row>
    <row r="209">
      <c r="G209" s="16"/>
    </row>
    <row r="210">
      <c r="G210" s="16"/>
    </row>
    <row r="211">
      <c r="G211" s="16"/>
    </row>
    <row r="212">
      <c r="G212" s="16"/>
    </row>
    <row r="213">
      <c r="G213" s="16"/>
    </row>
    <row r="214">
      <c r="G214" s="16"/>
    </row>
    <row r="215">
      <c r="G215" s="16"/>
    </row>
    <row r="216">
      <c r="G216" s="16"/>
    </row>
    <row r="217">
      <c r="G217" s="16"/>
    </row>
    <row r="218">
      <c r="G218" s="16"/>
    </row>
    <row r="219">
      <c r="G219" s="16"/>
    </row>
    <row r="220">
      <c r="G220" s="16"/>
    </row>
    <row r="221">
      <c r="G221" s="16"/>
    </row>
    <row r="222">
      <c r="G222" s="16"/>
    </row>
    <row r="223">
      <c r="G223" s="16"/>
    </row>
    <row r="224">
      <c r="G224" s="16"/>
    </row>
    <row r="225">
      <c r="G225" s="16"/>
    </row>
    <row r="226">
      <c r="G226" s="16"/>
    </row>
    <row r="227">
      <c r="G227" s="16"/>
    </row>
    <row r="228">
      <c r="G228" s="16"/>
    </row>
    <row r="229">
      <c r="G229" s="16"/>
    </row>
    <row r="230">
      <c r="G230" s="16"/>
    </row>
    <row r="231">
      <c r="G231" s="16"/>
    </row>
    <row r="232">
      <c r="G232" s="16"/>
    </row>
    <row r="233">
      <c r="G233" s="16"/>
    </row>
    <row r="234">
      <c r="G234" s="16"/>
    </row>
    <row r="235">
      <c r="G235" s="16"/>
    </row>
    <row r="236">
      <c r="G236" s="16"/>
    </row>
    <row r="237">
      <c r="G237" s="16"/>
    </row>
    <row r="238">
      <c r="G238" s="16"/>
    </row>
    <row r="239">
      <c r="G239" s="16"/>
    </row>
    <row r="240">
      <c r="G240" s="16"/>
    </row>
    <row r="241">
      <c r="G241" s="16"/>
    </row>
    <row r="242">
      <c r="G242" s="16"/>
    </row>
    <row r="243">
      <c r="G243" s="16"/>
    </row>
    <row r="244">
      <c r="G244" s="16"/>
    </row>
    <row r="245">
      <c r="G245" s="16"/>
    </row>
    <row r="246">
      <c r="G246" s="16"/>
    </row>
    <row r="247">
      <c r="G247" s="16"/>
    </row>
    <row r="248">
      <c r="G248" s="16"/>
    </row>
    <row r="249">
      <c r="G249" s="16"/>
    </row>
    <row r="250">
      <c r="G250" s="16"/>
    </row>
    <row r="251">
      <c r="G251" s="16"/>
    </row>
    <row r="252">
      <c r="G252" s="16"/>
    </row>
    <row r="253">
      <c r="G253" s="16"/>
    </row>
    <row r="254">
      <c r="G254" s="16"/>
    </row>
    <row r="255">
      <c r="G255" s="16"/>
    </row>
    <row r="256">
      <c r="G256" s="16"/>
    </row>
    <row r="257">
      <c r="G257" s="16"/>
    </row>
    <row r="258">
      <c r="G258" s="16"/>
    </row>
    <row r="259">
      <c r="G259" s="16"/>
    </row>
    <row r="260">
      <c r="G260" s="16"/>
    </row>
    <row r="261">
      <c r="G261" s="16"/>
    </row>
    <row r="262">
      <c r="G262" s="16"/>
    </row>
    <row r="263">
      <c r="G263" s="16"/>
    </row>
    <row r="264">
      <c r="G264" s="16"/>
    </row>
    <row r="265">
      <c r="G265" s="16"/>
    </row>
    <row r="266">
      <c r="G266" s="16"/>
    </row>
    <row r="267">
      <c r="G267" s="16"/>
    </row>
    <row r="268">
      <c r="G268" s="16"/>
    </row>
    <row r="269">
      <c r="G269" s="16"/>
    </row>
    <row r="270">
      <c r="G270" s="16"/>
    </row>
    <row r="271">
      <c r="G271" s="16"/>
    </row>
    <row r="272">
      <c r="G272" s="16"/>
    </row>
    <row r="273">
      <c r="G273" s="16"/>
    </row>
    <row r="274">
      <c r="G274" s="16"/>
    </row>
    <row r="275">
      <c r="G275" s="16"/>
    </row>
    <row r="276">
      <c r="G276" s="16"/>
    </row>
    <row r="277">
      <c r="G277" s="16"/>
    </row>
    <row r="278">
      <c r="G278" s="16"/>
    </row>
    <row r="279">
      <c r="G279" s="16"/>
    </row>
    <row r="280">
      <c r="G280" s="16"/>
    </row>
    <row r="281">
      <c r="G281" s="16"/>
    </row>
    <row r="282">
      <c r="G282" s="16"/>
    </row>
    <row r="283">
      <c r="G283" s="16"/>
    </row>
    <row r="284">
      <c r="G284" s="16"/>
    </row>
    <row r="285">
      <c r="G285" s="16"/>
    </row>
    <row r="286">
      <c r="G286" s="16"/>
    </row>
    <row r="287">
      <c r="G287" s="16"/>
    </row>
    <row r="288">
      <c r="G288" s="16"/>
    </row>
    <row r="289">
      <c r="G289" s="16"/>
    </row>
    <row r="290">
      <c r="G290" s="16"/>
    </row>
    <row r="291">
      <c r="G291" s="16"/>
    </row>
    <row r="292">
      <c r="G292" s="16"/>
    </row>
    <row r="293">
      <c r="G293" s="16"/>
    </row>
    <row r="294">
      <c r="G294" s="16"/>
    </row>
    <row r="295">
      <c r="G295" s="16"/>
    </row>
    <row r="296">
      <c r="G296" s="16"/>
    </row>
    <row r="297">
      <c r="G297" s="16"/>
    </row>
    <row r="298">
      <c r="G298" s="16"/>
    </row>
    <row r="299">
      <c r="G299" s="16"/>
    </row>
    <row r="300">
      <c r="G300" s="16"/>
    </row>
    <row r="301">
      <c r="G301" s="16"/>
    </row>
    <row r="302">
      <c r="G302" s="16"/>
    </row>
    <row r="303">
      <c r="G303" s="16"/>
    </row>
    <row r="304">
      <c r="G304" s="16"/>
    </row>
    <row r="305">
      <c r="G305" s="16"/>
    </row>
    <row r="306">
      <c r="G306" s="16"/>
    </row>
    <row r="307">
      <c r="G307" s="16"/>
    </row>
    <row r="308">
      <c r="G308" s="16"/>
    </row>
    <row r="309">
      <c r="G309" s="16"/>
    </row>
    <row r="310">
      <c r="G310" s="16"/>
    </row>
    <row r="311">
      <c r="G311" s="16"/>
    </row>
    <row r="312">
      <c r="G312" s="16"/>
    </row>
    <row r="313">
      <c r="G313" s="16"/>
    </row>
    <row r="314">
      <c r="G314" s="16"/>
    </row>
    <row r="315">
      <c r="G315" s="16"/>
    </row>
    <row r="316">
      <c r="G316" s="16"/>
    </row>
    <row r="317">
      <c r="G317" s="16"/>
    </row>
    <row r="318">
      <c r="G318" s="16"/>
    </row>
    <row r="319">
      <c r="G319" s="16"/>
    </row>
    <row r="320">
      <c r="G320" s="16"/>
    </row>
    <row r="321">
      <c r="G321" s="16"/>
    </row>
    <row r="322">
      <c r="G322" s="16"/>
    </row>
    <row r="323">
      <c r="G323" s="16"/>
    </row>
    <row r="324">
      <c r="G324" s="16"/>
    </row>
    <row r="325">
      <c r="G325" s="16"/>
    </row>
    <row r="326">
      <c r="G326" s="16"/>
    </row>
    <row r="327">
      <c r="G327" s="16"/>
    </row>
    <row r="328">
      <c r="G328" s="16"/>
    </row>
    <row r="329">
      <c r="G329" s="16"/>
    </row>
    <row r="330">
      <c r="G330" s="16"/>
    </row>
    <row r="331">
      <c r="G331" s="16"/>
    </row>
    <row r="332">
      <c r="G332" s="16"/>
    </row>
    <row r="333">
      <c r="G333" s="16"/>
    </row>
    <row r="334">
      <c r="G334" s="16"/>
    </row>
    <row r="335">
      <c r="G335" s="16"/>
    </row>
    <row r="336">
      <c r="G336" s="16"/>
    </row>
    <row r="337">
      <c r="G337" s="16"/>
    </row>
    <row r="338">
      <c r="G338" s="16"/>
    </row>
    <row r="339">
      <c r="G339" s="16"/>
    </row>
    <row r="340">
      <c r="G340" s="16"/>
    </row>
    <row r="341">
      <c r="G341" s="16"/>
    </row>
    <row r="342">
      <c r="G342" s="16"/>
    </row>
    <row r="343">
      <c r="G343" s="16"/>
    </row>
    <row r="344">
      <c r="G344" s="16"/>
    </row>
    <row r="345">
      <c r="G345" s="16"/>
    </row>
    <row r="346">
      <c r="G346" s="16"/>
    </row>
    <row r="347">
      <c r="G347" s="16"/>
    </row>
    <row r="348">
      <c r="G348" s="16"/>
    </row>
    <row r="349">
      <c r="G349" s="16"/>
    </row>
    <row r="350">
      <c r="G350" s="16"/>
    </row>
    <row r="351">
      <c r="G351" s="16"/>
    </row>
    <row r="352">
      <c r="G352" s="16"/>
    </row>
    <row r="353">
      <c r="G353" s="16"/>
    </row>
    <row r="354">
      <c r="G354" s="16"/>
    </row>
    <row r="355">
      <c r="G355" s="16"/>
    </row>
    <row r="356">
      <c r="G356" s="16"/>
    </row>
    <row r="357">
      <c r="G357" s="16"/>
    </row>
    <row r="358">
      <c r="G358" s="16"/>
    </row>
    <row r="359">
      <c r="G359" s="16"/>
    </row>
    <row r="360">
      <c r="G360" s="16"/>
    </row>
    <row r="361">
      <c r="G361" s="16"/>
    </row>
    <row r="362">
      <c r="G362" s="16"/>
    </row>
    <row r="363">
      <c r="G363" s="16"/>
    </row>
    <row r="364">
      <c r="G364" s="16"/>
    </row>
    <row r="365">
      <c r="G365" s="16"/>
    </row>
    <row r="366">
      <c r="G366" s="16"/>
    </row>
    <row r="367">
      <c r="G367" s="16"/>
    </row>
    <row r="368">
      <c r="G368" s="16"/>
    </row>
    <row r="369">
      <c r="G369" s="16"/>
    </row>
    <row r="370">
      <c r="G370" s="16"/>
    </row>
    <row r="371">
      <c r="G371" s="16"/>
    </row>
    <row r="372">
      <c r="G372" s="16"/>
    </row>
    <row r="373">
      <c r="G373" s="16"/>
    </row>
    <row r="374">
      <c r="G374" s="16"/>
    </row>
    <row r="375">
      <c r="G375" s="16"/>
    </row>
    <row r="376">
      <c r="G376" s="16"/>
    </row>
    <row r="377">
      <c r="G377" s="16"/>
    </row>
    <row r="378">
      <c r="G378" s="16"/>
    </row>
    <row r="379">
      <c r="G379" s="16"/>
    </row>
    <row r="380">
      <c r="G380" s="16"/>
    </row>
    <row r="381">
      <c r="G381" s="16"/>
    </row>
    <row r="382">
      <c r="G382" s="16"/>
    </row>
    <row r="383">
      <c r="G383" s="16"/>
    </row>
    <row r="384">
      <c r="G384" s="16"/>
    </row>
    <row r="385">
      <c r="G385" s="16"/>
    </row>
    <row r="386">
      <c r="G386" s="16"/>
    </row>
    <row r="387">
      <c r="G387" s="16"/>
    </row>
    <row r="388">
      <c r="G388" s="16"/>
    </row>
    <row r="389">
      <c r="G389" s="16"/>
    </row>
    <row r="390">
      <c r="G390" s="16"/>
    </row>
    <row r="391">
      <c r="G391" s="16"/>
    </row>
    <row r="392">
      <c r="G392" s="16"/>
    </row>
    <row r="393">
      <c r="G393" s="16"/>
    </row>
    <row r="394">
      <c r="G394" s="16"/>
    </row>
    <row r="395">
      <c r="G395" s="16"/>
    </row>
    <row r="396">
      <c r="G396" s="16"/>
    </row>
    <row r="397">
      <c r="G397" s="16"/>
    </row>
    <row r="398">
      <c r="G398" s="16"/>
    </row>
    <row r="399">
      <c r="G399" s="16"/>
    </row>
    <row r="400">
      <c r="G400" s="16"/>
    </row>
    <row r="401">
      <c r="G401" s="16"/>
    </row>
    <row r="402">
      <c r="G402" s="16"/>
    </row>
    <row r="403">
      <c r="G403" s="16"/>
    </row>
    <row r="404">
      <c r="G404" s="16"/>
    </row>
    <row r="405">
      <c r="G405" s="16"/>
    </row>
    <row r="406">
      <c r="G406" s="16"/>
    </row>
    <row r="407">
      <c r="G407" s="16"/>
    </row>
    <row r="408">
      <c r="G408" s="16"/>
    </row>
    <row r="409">
      <c r="G409" s="16"/>
    </row>
    <row r="410">
      <c r="G410" s="16"/>
    </row>
    <row r="411">
      <c r="G411" s="16"/>
    </row>
    <row r="412">
      <c r="G412" s="16"/>
    </row>
    <row r="413">
      <c r="G413" s="16"/>
    </row>
    <row r="414">
      <c r="G414" s="16"/>
    </row>
    <row r="415">
      <c r="G415" s="16"/>
    </row>
    <row r="416">
      <c r="G416" s="16"/>
    </row>
    <row r="417">
      <c r="G417" s="16"/>
    </row>
    <row r="418">
      <c r="G418" s="16"/>
    </row>
    <row r="419">
      <c r="G419" s="16"/>
    </row>
    <row r="420">
      <c r="G420" s="16"/>
    </row>
    <row r="421">
      <c r="G421" s="16"/>
    </row>
    <row r="422">
      <c r="G422" s="16"/>
    </row>
    <row r="423">
      <c r="G423" s="16"/>
    </row>
    <row r="424">
      <c r="G424" s="16"/>
    </row>
    <row r="425">
      <c r="G425" s="16"/>
    </row>
    <row r="426">
      <c r="G426" s="16"/>
    </row>
    <row r="427">
      <c r="G427" s="16"/>
    </row>
    <row r="428">
      <c r="G428" s="16"/>
    </row>
    <row r="429">
      <c r="G429" s="16"/>
    </row>
    <row r="430">
      <c r="G430" s="16"/>
    </row>
    <row r="431">
      <c r="G431" s="16"/>
    </row>
    <row r="432">
      <c r="G432" s="16"/>
    </row>
    <row r="433">
      <c r="G433" s="16"/>
    </row>
    <row r="434">
      <c r="G434" s="16"/>
    </row>
    <row r="435">
      <c r="G435" s="16"/>
    </row>
    <row r="436">
      <c r="G436" s="16"/>
    </row>
    <row r="437">
      <c r="G437" s="16"/>
    </row>
    <row r="438">
      <c r="G438" s="16"/>
    </row>
    <row r="439">
      <c r="G439" s="16"/>
    </row>
    <row r="440">
      <c r="G440" s="16"/>
    </row>
    <row r="441">
      <c r="G441" s="16"/>
    </row>
    <row r="442">
      <c r="G442" s="16"/>
    </row>
    <row r="443">
      <c r="G443" s="16"/>
    </row>
    <row r="444">
      <c r="G444" s="16"/>
    </row>
    <row r="445">
      <c r="G445" s="16"/>
    </row>
    <row r="446">
      <c r="G446" s="16"/>
    </row>
    <row r="447">
      <c r="G447" s="16"/>
    </row>
    <row r="448">
      <c r="G448" s="16"/>
    </row>
    <row r="449">
      <c r="G449" s="16"/>
    </row>
    <row r="450">
      <c r="G450" s="16"/>
    </row>
    <row r="451">
      <c r="G451" s="16"/>
    </row>
    <row r="452">
      <c r="G452" s="16"/>
    </row>
    <row r="453">
      <c r="G453" s="16"/>
    </row>
    <row r="454">
      <c r="G454" s="16"/>
    </row>
    <row r="455">
      <c r="G455" s="16"/>
    </row>
    <row r="456">
      <c r="G456" s="16"/>
    </row>
    <row r="457">
      <c r="G457" s="16"/>
    </row>
    <row r="458">
      <c r="G458" s="16"/>
    </row>
    <row r="459">
      <c r="G459" s="16"/>
    </row>
    <row r="460">
      <c r="G460" s="16"/>
    </row>
    <row r="461">
      <c r="G461" s="16"/>
    </row>
    <row r="462">
      <c r="G462" s="16"/>
    </row>
    <row r="463">
      <c r="G463" s="16"/>
    </row>
    <row r="464">
      <c r="G464" s="16"/>
    </row>
    <row r="465">
      <c r="G465" s="16"/>
    </row>
    <row r="466">
      <c r="G466" s="16"/>
    </row>
    <row r="467">
      <c r="G467" s="16"/>
    </row>
    <row r="468">
      <c r="G468" s="16"/>
    </row>
    <row r="469">
      <c r="G469" s="16"/>
    </row>
    <row r="470">
      <c r="G470" s="16"/>
    </row>
    <row r="471">
      <c r="G471" s="16"/>
    </row>
    <row r="472">
      <c r="G472" s="16"/>
    </row>
    <row r="473">
      <c r="G473" s="16"/>
    </row>
    <row r="474">
      <c r="G474" s="16"/>
    </row>
    <row r="475">
      <c r="G475" s="16"/>
    </row>
    <row r="476">
      <c r="G476" s="16"/>
    </row>
    <row r="477">
      <c r="G477" s="16"/>
    </row>
    <row r="478">
      <c r="G478" s="16"/>
    </row>
    <row r="479">
      <c r="G479" s="16"/>
    </row>
    <row r="480">
      <c r="G480" s="16"/>
    </row>
    <row r="481">
      <c r="G481" s="16"/>
    </row>
    <row r="482">
      <c r="G482" s="16"/>
    </row>
    <row r="483">
      <c r="G483" s="16"/>
    </row>
    <row r="484">
      <c r="G484" s="16"/>
    </row>
    <row r="485">
      <c r="G485" s="16"/>
    </row>
    <row r="486">
      <c r="G486" s="16"/>
    </row>
    <row r="487">
      <c r="G487" s="16"/>
    </row>
    <row r="488">
      <c r="G488" s="16"/>
    </row>
    <row r="489">
      <c r="G489" s="16"/>
    </row>
    <row r="490">
      <c r="G490" s="16"/>
    </row>
    <row r="491">
      <c r="G491" s="16"/>
    </row>
    <row r="492">
      <c r="G492" s="16"/>
    </row>
    <row r="493">
      <c r="G493" s="16"/>
    </row>
    <row r="494">
      <c r="G494" s="16"/>
    </row>
    <row r="495">
      <c r="G495" s="16"/>
    </row>
    <row r="496">
      <c r="G496" s="16"/>
    </row>
    <row r="497">
      <c r="G497" s="16"/>
    </row>
    <row r="498">
      <c r="G498" s="16"/>
    </row>
    <row r="499">
      <c r="G499" s="16"/>
    </row>
    <row r="500">
      <c r="G500" s="16"/>
    </row>
    <row r="501">
      <c r="G501" s="16"/>
    </row>
    <row r="502">
      <c r="G502" s="16"/>
    </row>
    <row r="503">
      <c r="G503" s="16"/>
    </row>
    <row r="504">
      <c r="G504" s="16"/>
    </row>
    <row r="505">
      <c r="G505" s="16"/>
    </row>
    <row r="506">
      <c r="G506" s="16"/>
    </row>
    <row r="507">
      <c r="G507" s="16"/>
    </row>
    <row r="508">
      <c r="G508" s="16"/>
    </row>
    <row r="509">
      <c r="G509" s="16"/>
    </row>
    <row r="510">
      <c r="G510" s="16"/>
    </row>
    <row r="511">
      <c r="G511" s="16"/>
    </row>
    <row r="512">
      <c r="G512" s="16"/>
    </row>
    <row r="513">
      <c r="G513" s="16"/>
    </row>
    <row r="514">
      <c r="G514" s="16"/>
    </row>
    <row r="515">
      <c r="G515" s="16"/>
    </row>
    <row r="516">
      <c r="G516" s="16"/>
    </row>
    <row r="517">
      <c r="G517" s="16"/>
    </row>
    <row r="518">
      <c r="G518" s="16"/>
    </row>
    <row r="519">
      <c r="G519" s="16"/>
    </row>
    <row r="520">
      <c r="G520" s="16"/>
    </row>
    <row r="521">
      <c r="G521" s="16"/>
    </row>
    <row r="522">
      <c r="G522" s="16"/>
    </row>
    <row r="523">
      <c r="G523" s="16"/>
    </row>
    <row r="524">
      <c r="G524" s="16"/>
    </row>
    <row r="525">
      <c r="G525" s="16"/>
    </row>
    <row r="526">
      <c r="G526" s="16"/>
    </row>
    <row r="527">
      <c r="G527" s="16"/>
    </row>
    <row r="528">
      <c r="G528" s="16"/>
    </row>
    <row r="529">
      <c r="G529" s="16"/>
    </row>
    <row r="530">
      <c r="G530" s="16"/>
    </row>
    <row r="531">
      <c r="G531" s="16"/>
    </row>
    <row r="532">
      <c r="G532" s="16"/>
    </row>
    <row r="533">
      <c r="G533" s="16"/>
    </row>
    <row r="534">
      <c r="G534" s="16"/>
    </row>
    <row r="535">
      <c r="G535" s="16"/>
    </row>
    <row r="536">
      <c r="G536" s="16"/>
    </row>
    <row r="537">
      <c r="G537" s="16"/>
    </row>
    <row r="538">
      <c r="G538" s="16"/>
    </row>
    <row r="539">
      <c r="G539" s="16"/>
    </row>
    <row r="540">
      <c r="G540" s="16"/>
    </row>
    <row r="541">
      <c r="G541" s="16"/>
    </row>
    <row r="542">
      <c r="G542" s="16"/>
    </row>
    <row r="543">
      <c r="G543" s="16"/>
    </row>
    <row r="544">
      <c r="G544" s="16"/>
    </row>
    <row r="545">
      <c r="G545" s="16"/>
    </row>
    <row r="546">
      <c r="G546" s="16"/>
    </row>
    <row r="547">
      <c r="G547" s="16"/>
    </row>
    <row r="548">
      <c r="G548" s="16"/>
    </row>
    <row r="549">
      <c r="G549" s="16"/>
    </row>
    <row r="550">
      <c r="G550" s="16"/>
    </row>
    <row r="551">
      <c r="G551" s="16"/>
    </row>
    <row r="552">
      <c r="G552" s="16"/>
    </row>
    <row r="553">
      <c r="G553" s="16"/>
    </row>
    <row r="554">
      <c r="G554" s="16"/>
    </row>
    <row r="555">
      <c r="G555" s="16"/>
    </row>
    <row r="556">
      <c r="G556" s="16"/>
    </row>
    <row r="557">
      <c r="G557" s="16"/>
    </row>
    <row r="558">
      <c r="G558" s="16"/>
    </row>
    <row r="559">
      <c r="G559" s="16"/>
    </row>
    <row r="560">
      <c r="G560" s="16"/>
    </row>
    <row r="561">
      <c r="G561" s="16"/>
    </row>
    <row r="562">
      <c r="G562" s="16"/>
    </row>
    <row r="563">
      <c r="G563" s="16"/>
    </row>
    <row r="564">
      <c r="G564" s="16"/>
    </row>
    <row r="565">
      <c r="G565" s="16"/>
    </row>
    <row r="566">
      <c r="G566" s="16"/>
    </row>
    <row r="567">
      <c r="G567" s="16"/>
    </row>
    <row r="568">
      <c r="G568" s="16"/>
    </row>
    <row r="569">
      <c r="G569" s="16"/>
    </row>
    <row r="570">
      <c r="G570" s="16"/>
    </row>
    <row r="571">
      <c r="G571" s="16"/>
    </row>
    <row r="572">
      <c r="G572" s="16"/>
    </row>
    <row r="573">
      <c r="G573" s="16"/>
    </row>
    <row r="574">
      <c r="G574" s="16"/>
    </row>
    <row r="575">
      <c r="G575" s="16"/>
    </row>
    <row r="576">
      <c r="G576" s="16"/>
    </row>
    <row r="577">
      <c r="G577" s="16"/>
    </row>
    <row r="578">
      <c r="G578" s="16"/>
    </row>
    <row r="579">
      <c r="G579" s="16"/>
    </row>
    <row r="580">
      <c r="G580" s="16"/>
    </row>
    <row r="581">
      <c r="G581" s="16"/>
    </row>
    <row r="582">
      <c r="G582" s="16"/>
    </row>
    <row r="583">
      <c r="G583" s="16"/>
    </row>
    <row r="584">
      <c r="G584" s="16"/>
    </row>
    <row r="585">
      <c r="G585" s="16"/>
    </row>
    <row r="586">
      <c r="G586" s="16"/>
    </row>
    <row r="587">
      <c r="G587" s="16"/>
    </row>
    <row r="588">
      <c r="G588" s="16"/>
    </row>
    <row r="589">
      <c r="G589" s="16"/>
    </row>
    <row r="590">
      <c r="G590" s="16"/>
    </row>
    <row r="591">
      <c r="G591" s="16"/>
    </row>
    <row r="592">
      <c r="G592" s="16"/>
    </row>
    <row r="593">
      <c r="G593" s="16"/>
    </row>
    <row r="594">
      <c r="G594" s="16"/>
    </row>
    <row r="595">
      <c r="G595" s="16"/>
    </row>
    <row r="596">
      <c r="G596" s="16"/>
    </row>
    <row r="597">
      <c r="G597" s="16"/>
    </row>
    <row r="598">
      <c r="G598" s="16"/>
    </row>
    <row r="599">
      <c r="G599" s="16"/>
    </row>
    <row r="600">
      <c r="G600" s="16"/>
    </row>
    <row r="601">
      <c r="G601" s="16"/>
    </row>
    <row r="602">
      <c r="G602" s="16"/>
    </row>
    <row r="603">
      <c r="G603" s="16"/>
    </row>
    <row r="604">
      <c r="G604" s="16"/>
    </row>
    <row r="605">
      <c r="G605" s="16"/>
    </row>
    <row r="606">
      <c r="G606" s="16"/>
    </row>
    <row r="607">
      <c r="G607" s="16"/>
    </row>
    <row r="608">
      <c r="G608" s="16"/>
    </row>
    <row r="609">
      <c r="G609" s="16"/>
    </row>
    <row r="610">
      <c r="G610" s="16"/>
    </row>
    <row r="611">
      <c r="G611" s="16"/>
    </row>
    <row r="612">
      <c r="G612" s="16"/>
    </row>
    <row r="613">
      <c r="G613" s="16"/>
    </row>
    <row r="614">
      <c r="G614" s="16"/>
    </row>
    <row r="615">
      <c r="G615" s="16"/>
    </row>
    <row r="616">
      <c r="G616" s="16"/>
    </row>
    <row r="617">
      <c r="G617" s="16"/>
    </row>
    <row r="618">
      <c r="G618" s="16"/>
    </row>
    <row r="619">
      <c r="G619" s="16"/>
    </row>
    <row r="620">
      <c r="G620" s="16"/>
    </row>
    <row r="621">
      <c r="G621" s="16"/>
    </row>
    <row r="622">
      <c r="G622" s="16"/>
    </row>
    <row r="623">
      <c r="G623" s="16"/>
    </row>
    <row r="624">
      <c r="G624" s="16"/>
    </row>
    <row r="625">
      <c r="G625" s="16"/>
    </row>
    <row r="626">
      <c r="G626" s="16"/>
    </row>
    <row r="627">
      <c r="G627" s="16"/>
    </row>
    <row r="628">
      <c r="G628" s="16"/>
    </row>
    <row r="629">
      <c r="G629" s="16"/>
    </row>
    <row r="630">
      <c r="G630" s="16"/>
    </row>
    <row r="631">
      <c r="G631" s="16"/>
    </row>
    <row r="632">
      <c r="G632" s="16"/>
    </row>
    <row r="633">
      <c r="G633" s="16"/>
    </row>
    <row r="634">
      <c r="G634" s="16"/>
    </row>
    <row r="635">
      <c r="G635" s="16"/>
    </row>
    <row r="636">
      <c r="G636" s="16"/>
    </row>
    <row r="637">
      <c r="G637" s="16"/>
    </row>
    <row r="638">
      <c r="G638" s="16"/>
    </row>
    <row r="639">
      <c r="G639" s="16"/>
    </row>
    <row r="640">
      <c r="G640" s="16"/>
    </row>
    <row r="641">
      <c r="G641" s="16"/>
    </row>
    <row r="642">
      <c r="G642" s="16"/>
    </row>
    <row r="643">
      <c r="G643" s="16"/>
    </row>
    <row r="644">
      <c r="G644" s="16"/>
    </row>
    <row r="645">
      <c r="G645" s="16"/>
    </row>
    <row r="646">
      <c r="G646" s="16"/>
    </row>
    <row r="647">
      <c r="G647" s="16"/>
    </row>
    <row r="648">
      <c r="G648" s="16"/>
    </row>
    <row r="649">
      <c r="G649" s="16"/>
    </row>
    <row r="650">
      <c r="G650" s="16"/>
    </row>
    <row r="651">
      <c r="G651" s="16"/>
    </row>
    <row r="652">
      <c r="G652" s="16"/>
    </row>
    <row r="653">
      <c r="G653" s="16"/>
    </row>
    <row r="654">
      <c r="G654" s="16"/>
    </row>
    <row r="655">
      <c r="G655" s="16"/>
    </row>
    <row r="656">
      <c r="G656" s="16"/>
    </row>
    <row r="657">
      <c r="G657" s="16"/>
    </row>
    <row r="658">
      <c r="G658" s="16"/>
    </row>
    <row r="659">
      <c r="G659" s="16"/>
    </row>
    <row r="660">
      <c r="G660" s="16"/>
    </row>
    <row r="661">
      <c r="G661" s="16"/>
    </row>
    <row r="662">
      <c r="G662" s="16"/>
    </row>
    <row r="663">
      <c r="G663" s="16"/>
    </row>
    <row r="664">
      <c r="G664" s="16"/>
    </row>
    <row r="665">
      <c r="G665" s="16"/>
    </row>
    <row r="666">
      <c r="G666" s="16"/>
    </row>
    <row r="667">
      <c r="G667" s="16"/>
    </row>
    <row r="668">
      <c r="G668" s="16"/>
    </row>
    <row r="669">
      <c r="G669" s="16"/>
    </row>
    <row r="670">
      <c r="G670" s="16"/>
    </row>
    <row r="671">
      <c r="G671" s="16"/>
    </row>
    <row r="672">
      <c r="G672" s="16"/>
    </row>
    <row r="673">
      <c r="G673" s="16"/>
    </row>
    <row r="674">
      <c r="G674" s="16"/>
    </row>
    <row r="675">
      <c r="G675" s="16"/>
    </row>
    <row r="676">
      <c r="G676" s="16"/>
    </row>
    <row r="677">
      <c r="G677" s="16"/>
    </row>
    <row r="678">
      <c r="G678" s="16"/>
    </row>
    <row r="679">
      <c r="G679" s="16"/>
    </row>
    <row r="680">
      <c r="G680" s="16"/>
    </row>
    <row r="681">
      <c r="G681" s="16"/>
    </row>
    <row r="682">
      <c r="G682" s="16"/>
    </row>
    <row r="683">
      <c r="G683" s="16"/>
    </row>
    <row r="684">
      <c r="G684" s="16"/>
    </row>
    <row r="685">
      <c r="G685" s="16"/>
    </row>
    <row r="686">
      <c r="G686" s="16"/>
    </row>
    <row r="687">
      <c r="G687" s="16"/>
    </row>
    <row r="688">
      <c r="G688" s="16"/>
    </row>
    <row r="689">
      <c r="G689" s="16"/>
    </row>
    <row r="690">
      <c r="G690" s="16"/>
    </row>
    <row r="691">
      <c r="G691" s="16"/>
    </row>
    <row r="692">
      <c r="G692" s="16"/>
    </row>
    <row r="693">
      <c r="G693" s="16"/>
    </row>
    <row r="694">
      <c r="G694" s="16"/>
    </row>
    <row r="695">
      <c r="G695" s="16"/>
    </row>
    <row r="696">
      <c r="G696" s="16"/>
    </row>
    <row r="697">
      <c r="G697" s="16"/>
    </row>
    <row r="698">
      <c r="G698" s="16"/>
    </row>
    <row r="699">
      <c r="G699" s="16"/>
    </row>
    <row r="700">
      <c r="G700" s="16"/>
    </row>
    <row r="701">
      <c r="G701" s="16"/>
    </row>
    <row r="702">
      <c r="G702" s="16"/>
    </row>
    <row r="703">
      <c r="G703" s="16"/>
    </row>
    <row r="704">
      <c r="G704" s="16"/>
    </row>
    <row r="705">
      <c r="G705" s="16"/>
    </row>
    <row r="706">
      <c r="G706" s="16"/>
    </row>
    <row r="707">
      <c r="G707" s="16"/>
    </row>
    <row r="708">
      <c r="G708" s="16"/>
    </row>
    <row r="709">
      <c r="G709" s="16"/>
    </row>
    <row r="710">
      <c r="G710" s="16"/>
    </row>
    <row r="711">
      <c r="G711" s="16"/>
    </row>
    <row r="712">
      <c r="G712" s="16"/>
    </row>
    <row r="713">
      <c r="G713" s="16"/>
    </row>
    <row r="714">
      <c r="G714" s="16"/>
    </row>
    <row r="715">
      <c r="G715" s="16"/>
    </row>
    <row r="716">
      <c r="G716" s="16"/>
    </row>
    <row r="717">
      <c r="G717" s="16"/>
    </row>
    <row r="718">
      <c r="G718" s="16"/>
    </row>
    <row r="719">
      <c r="G719" s="16"/>
    </row>
    <row r="720">
      <c r="G720" s="16"/>
    </row>
    <row r="721">
      <c r="G721" s="16"/>
    </row>
    <row r="722">
      <c r="G722" s="16"/>
    </row>
    <row r="723">
      <c r="G723" s="16"/>
    </row>
    <row r="724">
      <c r="G724" s="16"/>
    </row>
    <row r="725">
      <c r="G725" s="16"/>
    </row>
    <row r="726">
      <c r="G726" s="16"/>
    </row>
    <row r="727">
      <c r="G727" s="16"/>
    </row>
    <row r="728">
      <c r="G728" s="16"/>
    </row>
    <row r="729">
      <c r="G729" s="16"/>
    </row>
    <row r="730">
      <c r="G730" s="16"/>
    </row>
    <row r="731">
      <c r="G731" s="16"/>
    </row>
    <row r="732">
      <c r="G732" s="16"/>
    </row>
    <row r="733">
      <c r="G733" s="16"/>
    </row>
    <row r="734">
      <c r="G734" s="16"/>
    </row>
    <row r="735">
      <c r="G735" s="16"/>
    </row>
    <row r="736">
      <c r="G736" s="16"/>
    </row>
    <row r="737">
      <c r="G737" s="16"/>
    </row>
    <row r="738">
      <c r="G738" s="16"/>
    </row>
    <row r="739">
      <c r="G739" s="16"/>
    </row>
    <row r="740">
      <c r="G740" s="16"/>
    </row>
    <row r="741">
      <c r="G741" s="16"/>
    </row>
    <row r="742">
      <c r="G742" s="16"/>
    </row>
    <row r="743">
      <c r="G743" s="16"/>
    </row>
    <row r="744">
      <c r="G744" s="16"/>
    </row>
    <row r="745">
      <c r="G745" s="16"/>
    </row>
    <row r="746">
      <c r="G746" s="16"/>
    </row>
    <row r="747">
      <c r="G747" s="16"/>
    </row>
    <row r="748">
      <c r="G748" s="16"/>
    </row>
    <row r="749">
      <c r="G749" s="16"/>
    </row>
    <row r="750">
      <c r="G750" s="16"/>
    </row>
    <row r="751">
      <c r="G751" s="16"/>
    </row>
    <row r="752">
      <c r="G752" s="16"/>
    </row>
    <row r="753">
      <c r="G753" s="16"/>
    </row>
    <row r="754">
      <c r="G754" s="16"/>
    </row>
    <row r="755">
      <c r="G755" s="16"/>
    </row>
    <row r="756">
      <c r="G756" s="16"/>
    </row>
    <row r="757">
      <c r="G757" s="16"/>
    </row>
    <row r="758">
      <c r="G758" s="16"/>
    </row>
    <row r="759">
      <c r="G759" s="16"/>
    </row>
    <row r="760">
      <c r="G760" s="16"/>
    </row>
    <row r="761">
      <c r="G761" s="16"/>
    </row>
    <row r="762">
      <c r="G762" s="16"/>
    </row>
    <row r="763">
      <c r="G763" s="16"/>
    </row>
    <row r="764">
      <c r="G764" s="16"/>
    </row>
    <row r="765">
      <c r="G765" s="16"/>
    </row>
    <row r="766">
      <c r="G766" s="16"/>
    </row>
    <row r="767">
      <c r="G767" s="16"/>
    </row>
    <row r="768">
      <c r="G768" s="16"/>
    </row>
    <row r="769">
      <c r="G769" s="16"/>
    </row>
    <row r="770">
      <c r="G770" s="16"/>
    </row>
    <row r="771">
      <c r="G771" s="16"/>
    </row>
    <row r="772">
      <c r="G772" s="16"/>
    </row>
    <row r="773">
      <c r="G773" s="16"/>
    </row>
    <row r="774">
      <c r="G774" s="16"/>
    </row>
    <row r="775">
      <c r="G775" s="16"/>
    </row>
    <row r="776">
      <c r="G776" s="16"/>
    </row>
    <row r="777">
      <c r="G777" s="16"/>
    </row>
    <row r="778">
      <c r="G778" s="16"/>
    </row>
    <row r="779">
      <c r="G779" s="16"/>
    </row>
    <row r="780">
      <c r="G780" s="16"/>
    </row>
    <row r="781">
      <c r="G781" s="16"/>
    </row>
    <row r="782">
      <c r="G782" s="16"/>
    </row>
    <row r="783">
      <c r="G783" s="16"/>
    </row>
    <row r="784">
      <c r="G784" s="16"/>
    </row>
    <row r="785">
      <c r="G785" s="16"/>
    </row>
    <row r="786">
      <c r="G786" s="16"/>
    </row>
    <row r="787">
      <c r="G787" s="16"/>
    </row>
    <row r="788">
      <c r="G788" s="16"/>
    </row>
    <row r="789">
      <c r="G789" s="16"/>
    </row>
    <row r="790">
      <c r="G790" s="16"/>
    </row>
    <row r="791">
      <c r="G791" s="16"/>
    </row>
    <row r="792">
      <c r="G792" s="16"/>
    </row>
    <row r="793">
      <c r="G793" s="16"/>
    </row>
    <row r="794">
      <c r="G794" s="16"/>
    </row>
    <row r="795">
      <c r="G795" s="16"/>
    </row>
    <row r="796">
      <c r="G796" s="16"/>
    </row>
    <row r="797">
      <c r="G797" s="16"/>
    </row>
    <row r="798">
      <c r="G798" s="16"/>
    </row>
    <row r="799">
      <c r="G799" s="16"/>
    </row>
    <row r="800">
      <c r="G800" s="16"/>
    </row>
    <row r="801">
      <c r="G801" s="16"/>
    </row>
    <row r="802">
      <c r="G802" s="16"/>
    </row>
    <row r="803">
      <c r="G803" s="16"/>
    </row>
    <row r="804">
      <c r="G804" s="16"/>
    </row>
    <row r="805">
      <c r="G805" s="16"/>
    </row>
    <row r="806">
      <c r="G806" s="16"/>
    </row>
    <row r="807">
      <c r="G807" s="16"/>
    </row>
    <row r="808">
      <c r="G808" s="16"/>
    </row>
    <row r="809">
      <c r="G809" s="16"/>
    </row>
    <row r="810">
      <c r="G810" s="16"/>
    </row>
    <row r="811">
      <c r="G811" s="16"/>
    </row>
    <row r="812">
      <c r="G812" s="16"/>
    </row>
    <row r="813">
      <c r="G813" s="16"/>
    </row>
    <row r="814">
      <c r="G814" s="16"/>
    </row>
    <row r="815">
      <c r="G815" s="16"/>
    </row>
    <row r="816">
      <c r="G816" s="16"/>
    </row>
    <row r="817">
      <c r="G817" s="16"/>
    </row>
    <row r="818">
      <c r="G818" s="16"/>
    </row>
    <row r="819">
      <c r="G819" s="16"/>
    </row>
    <row r="820">
      <c r="G820" s="16"/>
    </row>
    <row r="821">
      <c r="G821" s="16"/>
    </row>
    <row r="822">
      <c r="G822" s="16"/>
    </row>
    <row r="823">
      <c r="G823" s="16"/>
    </row>
    <row r="824">
      <c r="G824" s="16"/>
    </row>
    <row r="825">
      <c r="G825" s="16"/>
    </row>
    <row r="826">
      <c r="G826" s="16"/>
    </row>
    <row r="827">
      <c r="G827" s="16"/>
    </row>
    <row r="828">
      <c r="G828" s="16"/>
    </row>
    <row r="829">
      <c r="G829" s="16"/>
    </row>
    <row r="830">
      <c r="G830" s="16"/>
    </row>
    <row r="831">
      <c r="G831" s="16"/>
    </row>
    <row r="832">
      <c r="G832" s="16"/>
    </row>
    <row r="833">
      <c r="G833" s="16"/>
    </row>
    <row r="834">
      <c r="G834" s="16"/>
    </row>
    <row r="835">
      <c r="G835" s="16"/>
    </row>
    <row r="836">
      <c r="G836" s="16"/>
    </row>
    <row r="837">
      <c r="G837" s="16"/>
    </row>
    <row r="838">
      <c r="G838" s="16"/>
    </row>
    <row r="839">
      <c r="G839" s="16"/>
    </row>
    <row r="840">
      <c r="G840" s="16"/>
    </row>
    <row r="841">
      <c r="G841" s="16"/>
    </row>
    <row r="842">
      <c r="G842" s="16"/>
    </row>
    <row r="843">
      <c r="G843" s="16"/>
    </row>
    <row r="844">
      <c r="G844" s="16"/>
    </row>
    <row r="845">
      <c r="G845" s="16"/>
    </row>
    <row r="846">
      <c r="G846" s="16"/>
    </row>
    <row r="847">
      <c r="G847" s="16"/>
    </row>
    <row r="848">
      <c r="G848" s="16"/>
    </row>
    <row r="849">
      <c r="G849" s="16"/>
    </row>
    <row r="850">
      <c r="G850" s="16"/>
    </row>
    <row r="851">
      <c r="G851" s="16"/>
    </row>
    <row r="852">
      <c r="G852" s="16"/>
    </row>
    <row r="853">
      <c r="G853" s="16"/>
    </row>
    <row r="854">
      <c r="G854" s="16"/>
    </row>
    <row r="855">
      <c r="G855" s="16"/>
    </row>
    <row r="856">
      <c r="G856" s="16"/>
    </row>
    <row r="857">
      <c r="G857" s="16"/>
    </row>
    <row r="858">
      <c r="G858" s="16"/>
    </row>
    <row r="859">
      <c r="G859" s="16"/>
    </row>
    <row r="860">
      <c r="G860" s="16"/>
    </row>
    <row r="861">
      <c r="G861" s="16"/>
    </row>
    <row r="862">
      <c r="G862" s="16"/>
    </row>
    <row r="863">
      <c r="G863" s="16"/>
    </row>
    <row r="864">
      <c r="G864" s="16"/>
    </row>
    <row r="865">
      <c r="G865" s="16"/>
    </row>
    <row r="866">
      <c r="G866" s="16"/>
    </row>
    <row r="867">
      <c r="G867" s="16"/>
    </row>
    <row r="868">
      <c r="G868" s="16"/>
    </row>
    <row r="869">
      <c r="G869" s="16"/>
    </row>
    <row r="870">
      <c r="G870" s="16"/>
    </row>
    <row r="871">
      <c r="G871" s="16"/>
    </row>
    <row r="872">
      <c r="G872" s="16"/>
    </row>
    <row r="873">
      <c r="G873" s="16"/>
    </row>
    <row r="874">
      <c r="G874" s="16"/>
    </row>
    <row r="875">
      <c r="G875" s="16"/>
    </row>
    <row r="876">
      <c r="G876" s="16"/>
    </row>
    <row r="877">
      <c r="G877" s="16"/>
    </row>
    <row r="878">
      <c r="G878" s="16"/>
    </row>
    <row r="879">
      <c r="G879" s="16"/>
    </row>
    <row r="880">
      <c r="G880" s="16"/>
    </row>
    <row r="881">
      <c r="G881" s="16"/>
    </row>
    <row r="882">
      <c r="G882" s="16"/>
    </row>
    <row r="883">
      <c r="G883" s="16"/>
    </row>
    <row r="884">
      <c r="G884" s="16"/>
    </row>
    <row r="885">
      <c r="G885" s="16"/>
    </row>
    <row r="886">
      <c r="G886" s="16"/>
    </row>
    <row r="887">
      <c r="G887" s="16"/>
    </row>
    <row r="888">
      <c r="G888" s="16"/>
    </row>
    <row r="889">
      <c r="G889" s="16"/>
    </row>
    <row r="890">
      <c r="G890" s="16"/>
    </row>
    <row r="891">
      <c r="G891" s="16"/>
    </row>
    <row r="892">
      <c r="G892" s="16"/>
    </row>
    <row r="893">
      <c r="G893" s="16"/>
    </row>
    <row r="894">
      <c r="G894" s="16"/>
    </row>
    <row r="895">
      <c r="G895" s="16"/>
    </row>
    <row r="896">
      <c r="G896" s="16"/>
    </row>
    <row r="897">
      <c r="G897" s="16"/>
    </row>
    <row r="898">
      <c r="G898" s="16"/>
    </row>
    <row r="899">
      <c r="G899" s="16"/>
    </row>
    <row r="900">
      <c r="G900" s="16"/>
    </row>
    <row r="901">
      <c r="G901" s="16"/>
    </row>
    <row r="902">
      <c r="G902" s="16"/>
    </row>
    <row r="903">
      <c r="G903" s="16"/>
    </row>
    <row r="904">
      <c r="G904" s="16"/>
    </row>
    <row r="905">
      <c r="G905" s="16"/>
    </row>
    <row r="906">
      <c r="G906" s="16"/>
    </row>
    <row r="907">
      <c r="G907" s="16"/>
    </row>
    <row r="908">
      <c r="G908" s="16"/>
    </row>
    <row r="909">
      <c r="G909" s="16"/>
    </row>
    <row r="910">
      <c r="G910" s="16"/>
    </row>
    <row r="911">
      <c r="G911" s="16"/>
    </row>
    <row r="912">
      <c r="G912" s="16"/>
    </row>
    <row r="913">
      <c r="G913" s="16"/>
    </row>
    <row r="914">
      <c r="G914" s="16"/>
    </row>
    <row r="915">
      <c r="G915" s="16"/>
    </row>
    <row r="916">
      <c r="G916" s="16"/>
    </row>
    <row r="917">
      <c r="G917" s="16"/>
    </row>
    <row r="918">
      <c r="G918" s="16"/>
    </row>
    <row r="919">
      <c r="G919" s="16"/>
    </row>
    <row r="920">
      <c r="G920" s="16"/>
    </row>
    <row r="921">
      <c r="G921" s="16"/>
    </row>
    <row r="922">
      <c r="G922" s="16"/>
    </row>
    <row r="923">
      <c r="G923" s="16"/>
    </row>
    <row r="924">
      <c r="G924" s="16"/>
    </row>
    <row r="925">
      <c r="G925" s="16"/>
    </row>
    <row r="926">
      <c r="G926" s="16"/>
    </row>
    <row r="927">
      <c r="G927" s="16"/>
    </row>
    <row r="928">
      <c r="G928" s="16"/>
    </row>
    <row r="929">
      <c r="G929" s="16"/>
    </row>
    <row r="930">
      <c r="G930" s="16"/>
    </row>
    <row r="931">
      <c r="G931" s="16"/>
    </row>
    <row r="932">
      <c r="G932" s="16"/>
    </row>
    <row r="933">
      <c r="G933" s="16"/>
    </row>
    <row r="934">
      <c r="G934" s="16"/>
    </row>
    <row r="935">
      <c r="G935" s="16"/>
    </row>
    <row r="936">
      <c r="G936" s="16"/>
    </row>
    <row r="937">
      <c r="G937" s="16"/>
    </row>
    <row r="938">
      <c r="G938" s="16"/>
    </row>
    <row r="939">
      <c r="G939" s="16"/>
    </row>
    <row r="940">
      <c r="G940" s="16"/>
    </row>
    <row r="941">
      <c r="G941" s="16"/>
    </row>
    <row r="942">
      <c r="G942" s="16"/>
    </row>
    <row r="943">
      <c r="G943" s="16"/>
    </row>
    <row r="944">
      <c r="G944" s="16"/>
    </row>
    <row r="945">
      <c r="G945" s="16"/>
    </row>
    <row r="946">
      <c r="G946" s="16"/>
    </row>
    <row r="947">
      <c r="G947" s="16"/>
    </row>
    <row r="948">
      <c r="G948" s="16"/>
    </row>
    <row r="949">
      <c r="G949" s="16"/>
    </row>
    <row r="950">
      <c r="G950" s="16"/>
    </row>
    <row r="951">
      <c r="G951" s="16"/>
    </row>
    <row r="952">
      <c r="G952" s="16"/>
    </row>
    <row r="953">
      <c r="G953" s="16"/>
    </row>
    <row r="954">
      <c r="G954" s="16"/>
    </row>
    <row r="955">
      <c r="G955" s="16"/>
    </row>
    <row r="956">
      <c r="G956" s="16"/>
    </row>
    <row r="957">
      <c r="G957" s="16"/>
    </row>
    <row r="958">
      <c r="G958" s="16"/>
    </row>
    <row r="959">
      <c r="G959" s="16"/>
    </row>
    <row r="960">
      <c r="G960" s="16"/>
    </row>
    <row r="961">
      <c r="G961" s="16"/>
    </row>
    <row r="962">
      <c r="G962" s="16"/>
    </row>
    <row r="963">
      <c r="G963" s="16"/>
    </row>
    <row r="964">
      <c r="G964" s="16"/>
    </row>
    <row r="965">
      <c r="G965" s="16"/>
    </row>
    <row r="966">
      <c r="G966" s="16"/>
    </row>
    <row r="967">
      <c r="G967" s="16"/>
    </row>
    <row r="968">
      <c r="G968" s="16"/>
    </row>
    <row r="969">
      <c r="G969" s="16"/>
    </row>
    <row r="970">
      <c r="G970" s="16"/>
    </row>
    <row r="971">
      <c r="G971" s="16"/>
    </row>
    <row r="972">
      <c r="G972" s="16"/>
    </row>
    <row r="973">
      <c r="G973" s="16"/>
    </row>
    <row r="974">
      <c r="G974" s="16"/>
    </row>
    <row r="975">
      <c r="G975" s="16"/>
    </row>
    <row r="976">
      <c r="G976" s="16"/>
    </row>
    <row r="977">
      <c r="G977" s="16"/>
    </row>
    <row r="978">
      <c r="G978" s="16"/>
    </row>
    <row r="979">
      <c r="G979" s="16"/>
    </row>
    <row r="980">
      <c r="G980" s="16"/>
    </row>
    <row r="981">
      <c r="G981" s="16"/>
    </row>
    <row r="982">
      <c r="G982" s="16"/>
    </row>
    <row r="983">
      <c r="G983" s="16"/>
    </row>
    <row r="984">
      <c r="G984" s="16"/>
    </row>
    <row r="985">
      <c r="G985" s="16"/>
    </row>
    <row r="986">
      <c r="G986" s="16"/>
    </row>
    <row r="987">
      <c r="G987" s="16"/>
    </row>
    <row r="988">
      <c r="G988" s="16"/>
    </row>
    <row r="989">
      <c r="G989" s="16"/>
    </row>
    <row r="990">
      <c r="G990" s="16"/>
    </row>
    <row r="991">
      <c r="G991" s="16"/>
    </row>
    <row r="992">
      <c r="G992" s="16"/>
    </row>
    <row r="993">
      <c r="G993" s="16"/>
    </row>
    <row r="994">
      <c r="G994" s="16"/>
    </row>
    <row r="995">
      <c r="G995" s="16"/>
    </row>
    <row r="996">
      <c r="G996" s="16"/>
    </row>
    <row r="997">
      <c r="G997" s="16"/>
    </row>
    <row r="998">
      <c r="G998" s="16"/>
    </row>
    <row r="999">
      <c r="G999" s="16"/>
    </row>
    <row r="1000">
      <c r="G1000" s="16"/>
    </row>
  </sheetData>
  <autoFilter ref="$A$1:$Y$10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 t="s">
        <v>85</v>
      </c>
      <c r="B1" s="1" t="s">
        <v>1</v>
      </c>
      <c r="C1" s="1" t="s">
        <v>86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87</v>
      </c>
      <c r="I1" s="1" t="s">
        <v>88</v>
      </c>
      <c r="J1" s="1" t="s">
        <v>89</v>
      </c>
      <c r="K1" s="1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17"/>
    </row>
    <row r="2">
      <c r="A2" s="4" t="s">
        <v>19</v>
      </c>
      <c r="B2" s="18">
        <v>34840.0</v>
      </c>
      <c r="C2" s="18">
        <v>1.0</v>
      </c>
      <c r="D2" s="19" t="s">
        <v>90</v>
      </c>
      <c r="E2" s="19" t="s">
        <v>91</v>
      </c>
      <c r="F2" s="19" t="s">
        <v>92</v>
      </c>
      <c r="G2" s="20">
        <v>42500.0</v>
      </c>
      <c r="H2" s="18">
        <v>5.0</v>
      </c>
      <c r="I2" s="21">
        <v>1.0</v>
      </c>
      <c r="J2" s="22">
        <v>1303.4</v>
      </c>
      <c r="K2" s="23">
        <v>1303.4</v>
      </c>
      <c r="L2" s="18">
        <v>651.7</v>
      </c>
      <c r="M2" s="18" t="s">
        <v>16</v>
      </c>
      <c r="N2" s="18" t="s">
        <v>16</v>
      </c>
      <c r="O2" s="18">
        <v>651.7</v>
      </c>
      <c r="P2" s="18" t="s">
        <v>16</v>
      </c>
      <c r="Q2" s="24"/>
    </row>
    <row r="3" hidden="1">
      <c r="A3" s="4" t="s">
        <v>19</v>
      </c>
      <c r="B3" s="18">
        <v>98.0</v>
      </c>
      <c r="C3" s="18">
        <v>4.0</v>
      </c>
      <c r="D3" s="19" t="s">
        <v>14</v>
      </c>
      <c r="E3" s="19" t="s">
        <v>93</v>
      </c>
      <c r="F3" s="19" t="s">
        <v>94</v>
      </c>
      <c r="G3" s="20">
        <v>42628.0</v>
      </c>
      <c r="H3" s="18">
        <v>9.0</v>
      </c>
      <c r="I3" s="21">
        <v>1.0</v>
      </c>
      <c r="J3" s="22">
        <v>12042.0</v>
      </c>
      <c r="K3" s="23">
        <v>12042.0</v>
      </c>
      <c r="L3" s="22">
        <v>12042.0</v>
      </c>
      <c r="M3" s="18" t="s">
        <v>16</v>
      </c>
      <c r="N3" s="18" t="s">
        <v>16</v>
      </c>
      <c r="O3" s="18" t="s">
        <v>16</v>
      </c>
      <c r="P3" s="18" t="s">
        <v>16</v>
      </c>
      <c r="Q3" s="24"/>
    </row>
    <row r="4" hidden="1">
      <c r="A4" s="4" t="s">
        <v>19</v>
      </c>
      <c r="B4" s="18">
        <v>9354.0</v>
      </c>
      <c r="C4" s="18">
        <v>6.0</v>
      </c>
      <c r="D4" s="19" t="s">
        <v>14</v>
      </c>
      <c r="E4" s="19" t="s">
        <v>95</v>
      </c>
      <c r="F4" s="19" t="s">
        <v>96</v>
      </c>
      <c r="G4" s="20">
        <v>42587.0</v>
      </c>
      <c r="H4" s="18">
        <v>8.0</v>
      </c>
      <c r="I4" s="21">
        <v>1.0</v>
      </c>
      <c r="J4" s="22">
        <v>1230.0</v>
      </c>
      <c r="K4" s="23">
        <v>1230.0</v>
      </c>
      <c r="L4" s="22">
        <v>1230.0</v>
      </c>
      <c r="M4" s="18" t="s">
        <v>16</v>
      </c>
      <c r="N4" s="18" t="s">
        <v>16</v>
      </c>
      <c r="O4" s="18" t="s">
        <v>16</v>
      </c>
      <c r="P4" s="18" t="s">
        <v>16</v>
      </c>
      <c r="Q4" s="24"/>
    </row>
    <row r="5" hidden="1">
      <c r="A5" s="4" t="s">
        <v>19</v>
      </c>
      <c r="B5" s="18">
        <v>81028.0</v>
      </c>
      <c r="C5" s="18">
        <v>7.0</v>
      </c>
      <c r="D5" s="19" t="s">
        <v>14</v>
      </c>
      <c r="E5" s="19" t="s">
        <v>97</v>
      </c>
      <c r="F5" s="19" t="s">
        <v>98</v>
      </c>
      <c r="G5" s="20">
        <v>42565.0</v>
      </c>
      <c r="H5" s="18">
        <v>7.0</v>
      </c>
      <c r="I5" s="21">
        <v>1.0</v>
      </c>
      <c r="J5" s="22">
        <v>2401.0</v>
      </c>
      <c r="K5" s="23">
        <v>2401.0</v>
      </c>
      <c r="L5" s="22">
        <v>2401.0</v>
      </c>
      <c r="M5" s="18" t="s">
        <v>16</v>
      </c>
      <c r="N5" s="18" t="s">
        <v>16</v>
      </c>
      <c r="O5" s="18" t="s">
        <v>16</v>
      </c>
      <c r="P5" s="18" t="s">
        <v>16</v>
      </c>
      <c r="Q5" s="24"/>
    </row>
    <row r="6" hidden="1">
      <c r="A6" s="4" t="s">
        <v>19</v>
      </c>
      <c r="B6" s="18">
        <v>81357.0</v>
      </c>
      <c r="C6" s="18">
        <v>8.0</v>
      </c>
      <c r="D6" s="19" t="s">
        <v>14</v>
      </c>
      <c r="E6" s="19" t="s">
        <v>97</v>
      </c>
      <c r="F6" s="19" t="s">
        <v>98</v>
      </c>
      <c r="G6" s="20">
        <v>42585.0</v>
      </c>
      <c r="H6" s="18">
        <v>8.0</v>
      </c>
      <c r="I6" s="21">
        <v>1.0</v>
      </c>
      <c r="J6" s="22">
        <v>2401.0</v>
      </c>
      <c r="K6" s="23">
        <v>2401.0</v>
      </c>
      <c r="L6" s="22">
        <v>2401.0</v>
      </c>
      <c r="M6" s="18" t="s">
        <v>16</v>
      </c>
      <c r="N6" s="18" t="s">
        <v>16</v>
      </c>
      <c r="O6" s="18" t="s">
        <v>16</v>
      </c>
      <c r="P6" s="18" t="s">
        <v>16</v>
      </c>
      <c r="Q6" s="25"/>
    </row>
    <row r="7" hidden="1">
      <c r="A7" s="4" t="s">
        <v>19</v>
      </c>
      <c r="B7" s="18">
        <v>80303.0</v>
      </c>
      <c r="C7" s="18">
        <v>11.0</v>
      </c>
      <c r="D7" s="19" t="s">
        <v>14</v>
      </c>
      <c r="E7" s="19" t="s">
        <v>97</v>
      </c>
      <c r="F7" s="19" t="s">
        <v>99</v>
      </c>
      <c r="G7" s="20">
        <v>42541.0</v>
      </c>
      <c r="H7" s="18">
        <v>6.0</v>
      </c>
      <c r="I7" s="21">
        <v>1.0</v>
      </c>
      <c r="J7" s="18">
        <v>524.0</v>
      </c>
      <c r="K7" s="26">
        <v>524.0</v>
      </c>
      <c r="L7" s="18">
        <v>524.0</v>
      </c>
      <c r="M7" s="18" t="s">
        <v>16</v>
      </c>
      <c r="N7" s="18" t="s">
        <v>16</v>
      </c>
      <c r="O7" s="18" t="s">
        <v>16</v>
      </c>
      <c r="P7" s="18" t="s">
        <v>16</v>
      </c>
      <c r="Q7" s="25"/>
    </row>
    <row r="8" hidden="1">
      <c r="A8" s="4" t="s">
        <v>19</v>
      </c>
      <c r="B8" s="18">
        <v>423.0</v>
      </c>
      <c r="C8" s="18">
        <v>12.0</v>
      </c>
      <c r="D8" s="19" t="s">
        <v>14</v>
      </c>
      <c r="E8" s="19" t="s">
        <v>100</v>
      </c>
      <c r="F8" s="19" t="s">
        <v>101</v>
      </c>
      <c r="G8" s="20">
        <v>42608.0</v>
      </c>
      <c r="H8" s="18">
        <v>8.0</v>
      </c>
      <c r="I8" s="21">
        <v>1.0</v>
      </c>
      <c r="J8" s="22">
        <v>24000.0</v>
      </c>
      <c r="K8" s="23">
        <v>24000.0</v>
      </c>
      <c r="L8" s="22">
        <v>24000.0</v>
      </c>
      <c r="M8" s="18" t="s">
        <v>16</v>
      </c>
      <c r="N8" s="18" t="s">
        <v>16</v>
      </c>
      <c r="O8" s="18" t="s">
        <v>16</v>
      </c>
      <c r="P8" s="18" t="s">
        <v>16</v>
      </c>
      <c r="Q8" s="25"/>
    </row>
    <row r="9" hidden="1">
      <c r="A9" s="4" t="s">
        <v>19</v>
      </c>
      <c r="B9" s="18">
        <v>5542.0</v>
      </c>
      <c r="C9" s="18">
        <v>20.0</v>
      </c>
      <c r="D9" s="19" t="s">
        <v>102</v>
      </c>
      <c r="E9" s="19" t="s">
        <v>95</v>
      </c>
      <c r="F9" s="19" t="s">
        <v>103</v>
      </c>
      <c r="G9" s="20">
        <v>42506.0</v>
      </c>
      <c r="H9" s="18">
        <v>5.0</v>
      </c>
      <c r="I9" s="21">
        <v>0.36</v>
      </c>
      <c r="J9" s="22">
        <v>3220.0</v>
      </c>
      <c r="K9" s="23">
        <v>1150.17</v>
      </c>
      <c r="L9" s="18">
        <v>575.08</v>
      </c>
      <c r="M9" s="18">
        <v>575.08</v>
      </c>
      <c r="N9" s="18" t="s">
        <v>16</v>
      </c>
      <c r="O9" s="18" t="s">
        <v>16</v>
      </c>
      <c r="P9" s="18" t="s">
        <v>16</v>
      </c>
      <c r="Q9" s="25"/>
    </row>
    <row r="10" hidden="1">
      <c r="A10" s="4" t="s">
        <v>19</v>
      </c>
      <c r="B10" s="18">
        <v>27824.0</v>
      </c>
      <c r="C10" s="18">
        <v>23.0</v>
      </c>
      <c r="D10" s="19" t="s">
        <v>104</v>
      </c>
      <c r="E10" s="19" t="s">
        <v>105</v>
      </c>
      <c r="F10" s="19" t="s">
        <v>106</v>
      </c>
      <c r="G10" s="20">
        <v>42647.0</v>
      </c>
      <c r="H10" s="18">
        <v>10.0</v>
      </c>
      <c r="I10" s="21">
        <v>1.0</v>
      </c>
      <c r="J10" s="18">
        <v>950.0</v>
      </c>
      <c r="K10" s="26">
        <v>950.0</v>
      </c>
      <c r="L10" s="18">
        <v>950.0</v>
      </c>
      <c r="M10" s="18" t="s">
        <v>16</v>
      </c>
      <c r="N10" s="18" t="s">
        <v>16</v>
      </c>
      <c r="O10" s="18" t="s">
        <v>16</v>
      </c>
      <c r="P10" s="18" t="s">
        <v>16</v>
      </c>
      <c r="Q10" s="25"/>
    </row>
    <row r="11" hidden="1">
      <c r="A11" s="4" t="s">
        <v>75</v>
      </c>
      <c r="B11" s="18">
        <v>2358.0</v>
      </c>
      <c r="C11" s="18">
        <v>25.0</v>
      </c>
      <c r="D11" s="19" t="s">
        <v>49</v>
      </c>
      <c r="E11" s="19" t="s">
        <v>107</v>
      </c>
      <c r="F11" s="19" t="s">
        <v>108</v>
      </c>
      <c r="G11" s="20">
        <v>42398.0</v>
      </c>
      <c r="H11" s="18">
        <v>1.0</v>
      </c>
      <c r="I11" s="21">
        <v>1.0</v>
      </c>
      <c r="J11" s="18">
        <v>574.0</v>
      </c>
      <c r="K11" s="26">
        <v>574.0</v>
      </c>
      <c r="L11" s="18">
        <v>574.0</v>
      </c>
      <c r="M11" s="18" t="s">
        <v>16</v>
      </c>
      <c r="N11" s="18" t="s">
        <v>16</v>
      </c>
      <c r="O11" s="18" t="s">
        <v>16</v>
      </c>
      <c r="P11" s="18" t="s">
        <v>16</v>
      </c>
      <c r="Q11" s="25"/>
    </row>
    <row r="12" hidden="1">
      <c r="A12" s="4" t="s">
        <v>75</v>
      </c>
      <c r="B12" s="18">
        <v>2389.0</v>
      </c>
      <c r="C12" s="18">
        <v>26.0</v>
      </c>
      <c r="D12" s="19" t="s">
        <v>49</v>
      </c>
      <c r="E12" s="19" t="s">
        <v>107</v>
      </c>
      <c r="F12" s="19" t="s">
        <v>108</v>
      </c>
      <c r="G12" s="20">
        <v>42416.0</v>
      </c>
      <c r="H12" s="18">
        <v>2.0</v>
      </c>
      <c r="I12" s="21">
        <v>1.0</v>
      </c>
      <c r="J12" s="18">
        <v>210.0</v>
      </c>
      <c r="K12" s="26">
        <v>210.0</v>
      </c>
      <c r="L12" s="18">
        <v>210.0</v>
      </c>
      <c r="M12" s="18" t="s">
        <v>16</v>
      </c>
      <c r="N12" s="18" t="s">
        <v>16</v>
      </c>
      <c r="O12" s="18" t="s">
        <v>16</v>
      </c>
      <c r="P12" s="18" t="s">
        <v>16</v>
      </c>
      <c r="Q12" s="25"/>
    </row>
    <row r="13" hidden="1">
      <c r="A13" s="4" t="s">
        <v>19</v>
      </c>
      <c r="B13" s="18">
        <v>7567.0</v>
      </c>
      <c r="C13" s="18">
        <v>27.0</v>
      </c>
      <c r="D13" s="19" t="s">
        <v>49</v>
      </c>
      <c r="E13" s="19" t="s">
        <v>95</v>
      </c>
      <c r="F13" s="19" t="s">
        <v>109</v>
      </c>
      <c r="G13" s="20">
        <v>42548.0</v>
      </c>
      <c r="H13" s="18">
        <v>6.0</v>
      </c>
      <c r="I13" s="21">
        <v>1.0</v>
      </c>
      <c r="J13" s="18">
        <v>450.0</v>
      </c>
      <c r="K13" s="26">
        <v>450.0</v>
      </c>
      <c r="L13" s="18">
        <v>450.0</v>
      </c>
      <c r="M13" s="18" t="s">
        <v>16</v>
      </c>
      <c r="N13" s="18" t="s">
        <v>16</v>
      </c>
      <c r="O13" s="18" t="s">
        <v>16</v>
      </c>
      <c r="P13" s="18" t="s">
        <v>16</v>
      </c>
      <c r="Q13" s="25"/>
    </row>
    <row r="14" hidden="1">
      <c r="A14" s="4" t="s">
        <v>19</v>
      </c>
      <c r="B14" s="18">
        <v>84232.0</v>
      </c>
      <c r="C14" s="18">
        <v>30.0</v>
      </c>
      <c r="D14" s="19" t="s">
        <v>110</v>
      </c>
      <c r="E14" s="19" t="s">
        <v>97</v>
      </c>
      <c r="F14" s="19" t="s">
        <v>98</v>
      </c>
      <c r="G14" s="20">
        <v>42681.0</v>
      </c>
      <c r="H14" s="18">
        <v>11.0</v>
      </c>
      <c r="I14" s="21">
        <v>1.0</v>
      </c>
      <c r="J14" s="18">
        <v>956.4</v>
      </c>
      <c r="K14" s="26">
        <v>956.4</v>
      </c>
      <c r="L14" s="18">
        <v>478.2</v>
      </c>
      <c r="M14" s="18">
        <v>478.2</v>
      </c>
      <c r="N14" s="18" t="s">
        <v>16</v>
      </c>
      <c r="O14" s="18" t="s">
        <v>16</v>
      </c>
      <c r="P14" s="18" t="s">
        <v>16</v>
      </c>
      <c r="Q14" s="25"/>
    </row>
    <row r="15" hidden="1">
      <c r="A15" s="4" t="s">
        <v>19</v>
      </c>
      <c r="B15" s="18">
        <v>15516.0</v>
      </c>
      <c r="C15" s="18">
        <v>31.0</v>
      </c>
      <c r="D15" s="19" t="s">
        <v>111</v>
      </c>
      <c r="E15" s="19" t="s">
        <v>95</v>
      </c>
      <c r="F15" s="19" t="s">
        <v>112</v>
      </c>
      <c r="G15" s="27">
        <v>42733.0</v>
      </c>
      <c r="H15" s="18">
        <v>12.0</v>
      </c>
      <c r="I15" s="21">
        <v>1.0</v>
      </c>
      <c r="J15" s="22">
        <v>1772.25</v>
      </c>
      <c r="K15" s="23">
        <v>1772.25</v>
      </c>
      <c r="L15" s="18" t="s">
        <v>16</v>
      </c>
      <c r="M15" s="22">
        <v>1181.5</v>
      </c>
      <c r="N15" s="18">
        <v>590.75</v>
      </c>
      <c r="O15" s="18" t="s">
        <v>16</v>
      </c>
      <c r="P15" s="18" t="s">
        <v>16</v>
      </c>
      <c r="Q15" s="25"/>
    </row>
    <row r="16" hidden="1">
      <c r="A16" s="4" t="s">
        <v>19</v>
      </c>
      <c r="B16" s="18">
        <v>27583.0</v>
      </c>
      <c r="C16" s="18">
        <v>32.0</v>
      </c>
      <c r="D16" s="19" t="s">
        <v>113</v>
      </c>
      <c r="E16" s="19" t="s">
        <v>105</v>
      </c>
      <c r="F16" s="19" t="s">
        <v>114</v>
      </c>
      <c r="G16" s="20">
        <v>42615.0</v>
      </c>
      <c r="H16" s="18">
        <v>9.0</v>
      </c>
      <c r="I16" s="21">
        <v>1.0</v>
      </c>
      <c r="J16" s="18">
        <v>305.0</v>
      </c>
      <c r="K16" s="26">
        <v>305.0</v>
      </c>
      <c r="L16" s="18" t="s">
        <v>16</v>
      </c>
      <c r="M16" s="18">
        <v>244.0</v>
      </c>
      <c r="N16" s="18">
        <v>61.0</v>
      </c>
      <c r="O16" s="18" t="s">
        <v>16</v>
      </c>
      <c r="P16" s="18" t="s">
        <v>16</v>
      </c>
      <c r="Q16" s="25"/>
    </row>
    <row r="17" hidden="1">
      <c r="A17" s="4" t="s">
        <v>19</v>
      </c>
      <c r="B17" s="18">
        <v>13354.0</v>
      </c>
      <c r="C17" s="18">
        <v>33.0</v>
      </c>
      <c r="D17" s="19" t="s">
        <v>115</v>
      </c>
      <c r="E17" s="19" t="s">
        <v>95</v>
      </c>
      <c r="F17" s="19" t="s">
        <v>116</v>
      </c>
      <c r="G17" s="20">
        <v>42683.0</v>
      </c>
      <c r="H17" s="18">
        <v>11.0</v>
      </c>
      <c r="I17" s="21">
        <v>1.0</v>
      </c>
      <c r="J17" s="22">
        <v>1344.25</v>
      </c>
      <c r="K17" s="23">
        <v>1344.25</v>
      </c>
      <c r="L17" s="18" t="s">
        <v>16</v>
      </c>
      <c r="M17" s="18">
        <v>672.13</v>
      </c>
      <c r="N17" s="18">
        <v>672.13</v>
      </c>
      <c r="O17" s="18" t="s">
        <v>16</v>
      </c>
      <c r="P17" s="18" t="s">
        <v>16</v>
      </c>
      <c r="Q17" s="25"/>
    </row>
    <row r="18" hidden="1">
      <c r="A18" s="4" t="s">
        <v>19</v>
      </c>
      <c r="B18" s="18">
        <v>8891.0</v>
      </c>
      <c r="C18" s="18">
        <v>34.0</v>
      </c>
      <c r="D18" s="19" t="s">
        <v>117</v>
      </c>
      <c r="E18" s="19" t="s">
        <v>95</v>
      </c>
      <c r="F18" s="19" t="s">
        <v>118</v>
      </c>
      <c r="G18" s="20">
        <v>42578.0</v>
      </c>
      <c r="H18" s="18">
        <v>7.0</v>
      </c>
      <c r="I18" s="21">
        <v>1.0</v>
      </c>
      <c r="J18" s="22">
        <v>4254.3</v>
      </c>
      <c r="K18" s="23">
        <v>4254.3</v>
      </c>
      <c r="L18" s="18">
        <v>170.17</v>
      </c>
      <c r="M18" s="18">
        <v>340.34</v>
      </c>
      <c r="N18" s="22">
        <v>3743.78</v>
      </c>
      <c r="O18" s="18" t="s">
        <v>16</v>
      </c>
      <c r="P18" s="18" t="s">
        <v>16</v>
      </c>
      <c r="Q18" s="25"/>
    </row>
    <row r="19" hidden="1">
      <c r="A19" s="4" t="s">
        <v>19</v>
      </c>
      <c r="B19" s="18">
        <v>5003.0</v>
      </c>
      <c r="C19" s="18">
        <v>35.0</v>
      </c>
      <c r="D19" s="19" t="s">
        <v>119</v>
      </c>
      <c r="E19" s="19" t="s">
        <v>95</v>
      </c>
      <c r="F19" s="19" t="s">
        <v>120</v>
      </c>
      <c r="G19" s="20">
        <v>42496.0</v>
      </c>
      <c r="H19" s="18">
        <v>2.0</v>
      </c>
      <c r="I19" s="21">
        <v>0.45</v>
      </c>
      <c r="J19" s="22">
        <v>2550.17</v>
      </c>
      <c r="K19" s="23">
        <v>1150.17</v>
      </c>
      <c r="L19" s="18" t="s">
        <v>16</v>
      </c>
      <c r="M19" s="22">
        <v>1150.17</v>
      </c>
      <c r="N19" s="18" t="s">
        <v>16</v>
      </c>
      <c r="O19" s="18" t="s">
        <v>16</v>
      </c>
      <c r="P19" s="18" t="s">
        <v>16</v>
      </c>
      <c r="Q19" s="25"/>
    </row>
    <row r="20">
      <c r="A20" s="4" t="s">
        <v>19</v>
      </c>
      <c r="B20" s="18">
        <v>28066.0</v>
      </c>
      <c r="C20" s="18">
        <v>36.0</v>
      </c>
      <c r="D20" s="19" t="s">
        <v>121</v>
      </c>
      <c r="E20" s="19" t="s">
        <v>105</v>
      </c>
      <c r="F20" s="19" t="s">
        <v>122</v>
      </c>
      <c r="G20" s="20">
        <v>42677.0</v>
      </c>
      <c r="H20" s="18">
        <v>2.0</v>
      </c>
      <c r="I20" s="21">
        <v>0.43</v>
      </c>
      <c r="J20" s="18">
        <v>990.0</v>
      </c>
      <c r="K20" s="26">
        <v>425.0</v>
      </c>
      <c r="L20" s="18">
        <v>141.67</v>
      </c>
      <c r="M20" s="18">
        <v>141.67</v>
      </c>
      <c r="N20" s="18" t="s">
        <v>16</v>
      </c>
      <c r="O20" s="18">
        <v>141.67</v>
      </c>
      <c r="P20" s="18" t="s">
        <v>16</v>
      </c>
      <c r="Q20" s="25"/>
    </row>
    <row r="21">
      <c r="A21" s="4" t="s">
        <v>19</v>
      </c>
      <c r="B21" s="18">
        <v>74225.0</v>
      </c>
      <c r="C21" s="18">
        <v>38.0</v>
      </c>
      <c r="D21" s="19" t="s">
        <v>123</v>
      </c>
      <c r="E21" s="19" t="s">
        <v>124</v>
      </c>
      <c r="F21" s="19" t="s">
        <v>125</v>
      </c>
      <c r="G21" s="27">
        <v>42662.0</v>
      </c>
      <c r="H21" s="18">
        <v>10.0</v>
      </c>
      <c r="I21" s="21">
        <v>1.0</v>
      </c>
      <c r="J21" s="18">
        <v>281.93</v>
      </c>
      <c r="K21" s="26">
        <v>281.93</v>
      </c>
      <c r="L21" s="18" t="s">
        <v>16</v>
      </c>
      <c r="M21" s="18" t="s">
        <v>16</v>
      </c>
      <c r="N21" s="18" t="s">
        <v>16</v>
      </c>
      <c r="O21" s="18">
        <v>281.93</v>
      </c>
      <c r="P21" s="18" t="s">
        <v>16</v>
      </c>
      <c r="Q21" s="25"/>
    </row>
    <row r="22">
      <c r="A22" s="4" t="s">
        <v>19</v>
      </c>
      <c r="B22" s="18">
        <v>69032.0</v>
      </c>
      <c r="C22" s="18">
        <v>39.0</v>
      </c>
      <c r="D22" s="19" t="s">
        <v>126</v>
      </c>
      <c r="E22" s="19" t="s">
        <v>124</v>
      </c>
      <c r="F22" s="19" t="s">
        <v>127</v>
      </c>
      <c r="G22" s="20">
        <v>42404.0</v>
      </c>
      <c r="H22" s="18">
        <v>2.0</v>
      </c>
      <c r="I22" s="21">
        <v>1.0</v>
      </c>
      <c r="J22" s="18">
        <v>710.15</v>
      </c>
      <c r="K22" s="26">
        <v>710.15</v>
      </c>
      <c r="L22" s="18" t="s">
        <v>16</v>
      </c>
      <c r="M22" s="18" t="s">
        <v>16</v>
      </c>
      <c r="N22" s="18" t="s">
        <v>16</v>
      </c>
      <c r="O22" s="18">
        <v>710.15</v>
      </c>
      <c r="P22" s="18" t="s">
        <v>16</v>
      </c>
      <c r="Q22" s="25"/>
    </row>
    <row r="23">
      <c r="A23" s="4" t="s">
        <v>19</v>
      </c>
      <c r="B23" s="18">
        <v>7976.0</v>
      </c>
      <c r="C23" s="18">
        <v>40.0</v>
      </c>
      <c r="D23" s="19" t="s">
        <v>126</v>
      </c>
      <c r="E23" s="19" t="s">
        <v>95</v>
      </c>
      <c r="F23" s="19" t="s">
        <v>128</v>
      </c>
      <c r="G23" s="20">
        <v>42557.0</v>
      </c>
      <c r="H23" s="18">
        <v>7.0</v>
      </c>
      <c r="I23" s="21">
        <v>1.0</v>
      </c>
      <c r="J23" s="18">
        <v>290.0</v>
      </c>
      <c r="K23" s="26">
        <v>290.0</v>
      </c>
      <c r="L23" s="18" t="s">
        <v>16</v>
      </c>
      <c r="M23" s="18" t="s">
        <v>16</v>
      </c>
      <c r="N23" s="18" t="s">
        <v>16</v>
      </c>
      <c r="O23" s="18">
        <v>290.0</v>
      </c>
      <c r="P23" s="18" t="s">
        <v>16</v>
      </c>
      <c r="Q23" s="25"/>
    </row>
    <row r="24">
      <c r="A24" s="4" t="s">
        <v>19</v>
      </c>
      <c r="B24" s="18">
        <v>15490.0</v>
      </c>
      <c r="C24" s="18">
        <v>41.0</v>
      </c>
      <c r="D24" s="19" t="s">
        <v>129</v>
      </c>
      <c r="E24" s="19" t="s">
        <v>130</v>
      </c>
      <c r="F24" s="19" t="s">
        <v>131</v>
      </c>
      <c r="G24" s="20">
        <v>42495.0</v>
      </c>
      <c r="H24" s="18">
        <v>5.0</v>
      </c>
      <c r="I24" s="21">
        <v>1.0</v>
      </c>
      <c r="J24" s="22">
        <v>1330.0</v>
      </c>
      <c r="K24" s="23">
        <v>1330.0</v>
      </c>
      <c r="L24" s="18">
        <v>190.0</v>
      </c>
      <c r="M24" s="18" t="s">
        <v>16</v>
      </c>
      <c r="N24" s="18" t="s">
        <v>16</v>
      </c>
      <c r="O24" s="22">
        <v>1140.0</v>
      </c>
      <c r="P24" s="18" t="s">
        <v>16</v>
      </c>
      <c r="Q24" s="25"/>
    </row>
    <row r="25">
      <c r="A25" s="4" t="s">
        <v>19</v>
      </c>
      <c r="B25" s="18">
        <v>70623.0</v>
      </c>
      <c r="C25" s="18">
        <v>42.0</v>
      </c>
      <c r="D25" s="19" t="s">
        <v>132</v>
      </c>
      <c r="E25" s="19" t="s">
        <v>124</v>
      </c>
      <c r="F25" s="19" t="s">
        <v>131</v>
      </c>
      <c r="G25" s="20">
        <v>42480.0</v>
      </c>
      <c r="H25" s="18">
        <v>6.0</v>
      </c>
      <c r="I25" s="21">
        <v>1.0</v>
      </c>
      <c r="J25" s="22">
        <v>1775.38</v>
      </c>
      <c r="K25" s="23">
        <v>1775.38</v>
      </c>
      <c r="L25" s="18" t="s">
        <v>16</v>
      </c>
      <c r="M25" s="18" t="s">
        <v>16</v>
      </c>
      <c r="N25" s="18" t="s">
        <v>16</v>
      </c>
      <c r="O25" s="22">
        <v>1775.38</v>
      </c>
      <c r="P25" s="18" t="s">
        <v>16</v>
      </c>
      <c r="Q25" s="25"/>
    </row>
    <row r="26">
      <c r="A26" s="4" t="s">
        <v>19</v>
      </c>
      <c r="B26" s="18">
        <v>17048.0</v>
      </c>
      <c r="C26" s="18">
        <v>43.0</v>
      </c>
      <c r="D26" s="19" t="s">
        <v>133</v>
      </c>
      <c r="E26" s="19" t="s">
        <v>130</v>
      </c>
      <c r="F26" s="19" t="s">
        <v>134</v>
      </c>
      <c r="G26" s="27">
        <v>42702.0</v>
      </c>
      <c r="H26" s="18">
        <v>11.0</v>
      </c>
      <c r="I26" s="21">
        <v>1.0</v>
      </c>
      <c r="J26" s="18">
        <v>760.0</v>
      </c>
      <c r="K26" s="26">
        <v>760.0</v>
      </c>
      <c r="L26" s="18" t="s">
        <v>16</v>
      </c>
      <c r="M26" s="18" t="s">
        <v>16</v>
      </c>
      <c r="N26" s="18">
        <v>570.0</v>
      </c>
      <c r="O26" s="18">
        <v>190.0</v>
      </c>
      <c r="P26" s="18" t="s">
        <v>16</v>
      </c>
      <c r="Q26" s="25"/>
    </row>
    <row r="27" hidden="1">
      <c r="A27" s="4" t="s">
        <v>19</v>
      </c>
      <c r="B27" s="18">
        <v>16158.0</v>
      </c>
      <c r="C27" s="18">
        <v>44.0</v>
      </c>
      <c r="D27" s="19" t="s">
        <v>135</v>
      </c>
      <c r="E27" s="19" t="s">
        <v>130</v>
      </c>
      <c r="F27" s="19" t="s">
        <v>136</v>
      </c>
      <c r="G27" s="20">
        <v>42593.0</v>
      </c>
      <c r="H27" s="18">
        <v>8.0</v>
      </c>
      <c r="I27" s="21">
        <v>1.0</v>
      </c>
      <c r="J27" s="18">
        <v>380.0</v>
      </c>
      <c r="K27" s="26">
        <v>380.0</v>
      </c>
      <c r="L27" s="18" t="s">
        <v>16</v>
      </c>
      <c r="M27" s="18">
        <v>190.0</v>
      </c>
      <c r="N27" s="18">
        <v>190.0</v>
      </c>
      <c r="O27" s="18" t="s">
        <v>16</v>
      </c>
      <c r="P27" s="18" t="s">
        <v>16</v>
      </c>
      <c r="Q27" s="25"/>
    </row>
    <row r="28">
      <c r="A28" s="4" t="s">
        <v>19</v>
      </c>
      <c r="B28" s="18">
        <v>38029.0</v>
      </c>
      <c r="C28" s="18">
        <v>45.0</v>
      </c>
      <c r="D28" s="19" t="s">
        <v>137</v>
      </c>
      <c r="E28" s="19" t="s">
        <v>91</v>
      </c>
      <c r="F28" s="19" t="s">
        <v>138</v>
      </c>
      <c r="G28" s="18" t="s">
        <v>139</v>
      </c>
      <c r="H28" s="18">
        <v>11.0</v>
      </c>
      <c r="I28" s="21">
        <v>1.0</v>
      </c>
      <c r="J28" s="22">
        <v>1303.4</v>
      </c>
      <c r="K28" s="23">
        <v>1303.4</v>
      </c>
      <c r="L28" s="18" t="s">
        <v>16</v>
      </c>
      <c r="M28" s="18" t="s">
        <v>16</v>
      </c>
      <c r="N28" s="18">
        <v>651.7</v>
      </c>
      <c r="O28" s="18">
        <v>651.7</v>
      </c>
      <c r="P28" s="18" t="s">
        <v>16</v>
      </c>
      <c r="Q28" s="25"/>
    </row>
    <row r="29" hidden="1">
      <c r="A29" s="4" t="s">
        <v>19</v>
      </c>
      <c r="B29" s="18">
        <v>84627.0</v>
      </c>
      <c r="C29" s="18">
        <v>46.0</v>
      </c>
      <c r="D29" s="19" t="s">
        <v>140</v>
      </c>
      <c r="E29" s="19" t="s">
        <v>97</v>
      </c>
      <c r="F29" s="19" t="s">
        <v>141</v>
      </c>
      <c r="G29" s="27">
        <v>42697.0</v>
      </c>
      <c r="H29" s="18">
        <v>11.0</v>
      </c>
      <c r="I29" s="21">
        <v>1.0</v>
      </c>
      <c r="J29" s="22">
        <v>3773.0</v>
      </c>
      <c r="K29" s="23">
        <v>3773.0</v>
      </c>
      <c r="L29" s="18" t="s">
        <v>16</v>
      </c>
      <c r="M29" s="22">
        <v>1886.5</v>
      </c>
      <c r="N29" s="22">
        <v>1886.5</v>
      </c>
      <c r="O29" s="18" t="s">
        <v>16</v>
      </c>
      <c r="P29" s="18" t="s">
        <v>16</v>
      </c>
      <c r="Q29" s="25"/>
    </row>
    <row r="30">
      <c r="A30" s="4" t="s">
        <v>19</v>
      </c>
      <c r="B30" s="18">
        <v>70624.0</v>
      </c>
      <c r="C30" s="18">
        <v>47.0</v>
      </c>
      <c r="D30" s="19" t="s">
        <v>142</v>
      </c>
      <c r="E30" s="19" t="s">
        <v>124</v>
      </c>
      <c r="F30" s="19" t="s">
        <v>143</v>
      </c>
      <c r="G30" s="20">
        <v>42480.0</v>
      </c>
      <c r="H30" s="18">
        <v>4.0</v>
      </c>
      <c r="I30" s="21">
        <v>1.0</v>
      </c>
      <c r="J30" s="18">
        <v>760.85</v>
      </c>
      <c r="K30" s="26">
        <v>760.85</v>
      </c>
      <c r="L30" s="18" t="s">
        <v>16</v>
      </c>
      <c r="M30" s="18" t="s">
        <v>16</v>
      </c>
      <c r="N30" s="18">
        <v>507.23</v>
      </c>
      <c r="O30" s="18">
        <v>253.62</v>
      </c>
      <c r="P30" s="18" t="s">
        <v>16</v>
      </c>
      <c r="Q30" s="25"/>
    </row>
    <row r="31" hidden="1">
      <c r="A31" s="4" t="s">
        <v>19</v>
      </c>
      <c r="B31" s="18">
        <v>81076.0</v>
      </c>
      <c r="C31" s="18">
        <v>48.0</v>
      </c>
      <c r="D31" s="19" t="s">
        <v>144</v>
      </c>
      <c r="E31" s="19" t="s">
        <v>97</v>
      </c>
      <c r="F31" s="19" t="s">
        <v>145</v>
      </c>
      <c r="G31" s="20">
        <v>42569.0</v>
      </c>
      <c r="H31" s="18">
        <v>7.0</v>
      </c>
      <c r="I31" s="21">
        <v>1.0</v>
      </c>
      <c r="J31" s="22">
        <v>5127.7</v>
      </c>
      <c r="K31" s="23">
        <v>5127.7</v>
      </c>
      <c r="L31" s="18" t="s">
        <v>16</v>
      </c>
      <c r="M31" s="18" t="s">
        <v>16</v>
      </c>
      <c r="N31" s="22">
        <v>5127.7</v>
      </c>
      <c r="O31" s="18" t="s">
        <v>16</v>
      </c>
      <c r="P31" s="18" t="s">
        <v>16</v>
      </c>
      <c r="Q31" s="25"/>
    </row>
    <row r="32" hidden="1">
      <c r="A32" s="4" t="s">
        <v>19</v>
      </c>
      <c r="B32" s="18">
        <v>80302.0</v>
      </c>
      <c r="C32" s="18">
        <v>49.0</v>
      </c>
      <c r="D32" s="19" t="s">
        <v>144</v>
      </c>
      <c r="E32" s="19" t="s">
        <v>97</v>
      </c>
      <c r="F32" s="19" t="s">
        <v>145</v>
      </c>
      <c r="G32" s="20">
        <v>42541.0</v>
      </c>
      <c r="H32" s="18">
        <v>6.0</v>
      </c>
      <c r="I32" s="21">
        <v>1.0</v>
      </c>
      <c r="J32" s="22">
        <v>5127.7</v>
      </c>
      <c r="K32" s="23">
        <v>5127.7</v>
      </c>
      <c r="L32" s="18" t="s">
        <v>16</v>
      </c>
      <c r="M32" s="18" t="s">
        <v>16</v>
      </c>
      <c r="N32" s="22">
        <v>5127.7</v>
      </c>
      <c r="O32" s="18" t="s">
        <v>16</v>
      </c>
      <c r="P32" s="18" t="s">
        <v>16</v>
      </c>
      <c r="Q32" s="25"/>
    </row>
    <row r="33" hidden="1">
      <c r="A33" s="4" t="s">
        <v>19</v>
      </c>
      <c r="B33" s="18">
        <v>10844.0</v>
      </c>
      <c r="C33" s="18">
        <v>51.0</v>
      </c>
      <c r="D33" s="19" t="s">
        <v>146</v>
      </c>
      <c r="E33" s="19" t="s">
        <v>95</v>
      </c>
      <c r="F33" s="19" t="s">
        <v>147</v>
      </c>
      <c r="G33" s="20">
        <v>42621.0</v>
      </c>
      <c r="H33" s="18">
        <v>9.0</v>
      </c>
      <c r="I33" s="21">
        <v>1.0</v>
      </c>
      <c r="J33" s="18">
        <v>436.5</v>
      </c>
      <c r="K33" s="26">
        <v>436.5</v>
      </c>
      <c r="L33" s="18" t="s">
        <v>16</v>
      </c>
      <c r="M33" s="18" t="s">
        <v>16</v>
      </c>
      <c r="N33" s="18">
        <v>436.5</v>
      </c>
      <c r="O33" s="18" t="s">
        <v>16</v>
      </c>
      <c r="P33" s="18" t="s">
        <v>16</v>
      </c>
      <c r="Q33" s="25"/>
    </row>
    <row r="34" hidden="1">
      <c r="A34" s="4" t="s">
        <v>19</v>
      </c>
      <c r="B34" s="18">
        <v>83455.0</v>
      </c>
      <c r="C34" s="18">
        <v>52.0</v>
      </c>
      <c r="D34" s="19" t="s">
        <v>148</v>
      </c>
      <c r="E34" s="19" t="s">
        <v>97</v>
      </c>
      <c r="F34" s="19" t="s">
        <v>149</v>
      </c>
      <c r="G34" s="27">
        <v>42653.0</v>
      </c>
      <c r="H34" s="18">
        <v>10.0</v>
      </c>
      <c r="I34" s="21">
        <v>1.0</v>
      </c>
      <c r="J34" s="18">
        <v>524.0</v>
      </c>
      <c r="K34" s="26">
        <v>524.0</v>
      </c>
      <c r="L34" s="18" t="s">
        <v>16</v>
      </c>
      <c r="M34" s="18" t="s">
        <v>16</v>
      </c>
      <c r="N34" s="18">
        <v>524.0</v>
      </c>
      <c r="O34" s="18" t="s">
        <v>16</v>
      </c>
      <c r="P34" s="18" t="s">
        <v>16</v>
      </c>
      <c r="Q34" s="25"/>
    </row>
    <row r="35" hidden="1">
      <c r="A35" s="4" t="s">
        <v>19</v>
      </c>
      <c r="B35" s="18">
        <v>12036.0</v>
      </c>
      <c r="C35" s="18">
        <v>53.0</v>
      </c>
      <c r="D35" s="19" t="s">
        <v>150</v>
      </c>
      <c r="E35" s="19" t="s">
        <v>95</v>
      </c>
      <c r="F35" s="19" t="s">
        <v>151</v>
      </c>
      <c r="G35" s="27">
        <v>42657.0</v>
      </c>
      <c r="H35" s="18">
        <v>10.0</v>
      </c>
      <c r="I35" s="21">
        <v>1.0</v>
      </c>
      <c r="J35" s="22">
        <v>1217.75</v>
      </c>
      <c r="K35" s="23">
        <v>1217.75</v>
      </c>
      <c r="L35" s="18" t="s">
        <v>16</v>
      </c>
      <c r="M35" s="18" t="s">
        <v>16</v>
      </c>
      <c r="N35" s="22">
        <v>1217.75</v>
      </c>
      <c r="O35" s="18" t="s">
        <v>16</v>
      </c>
      <c r="P35" s="18" t="s">
        <v>16</v>
      </c>
      <c r="Q35" s="25"/>
    </row>
    <row r="36" hidden="1">
      <c r="A36" s="4" t="s">
        <v>19</v>
      </c>
      <c r="B36" s="18">
        <v>12603.0</v>
      </c>
      <c r="C36" s="18">
        <v>54.0</v>
      </c>
      <c r="D36" s="19" t="s">
        <v>152</v>
      </c>
      <c r="E36" s="19" t="s">
        <v>95</v>
      </c>
      <c r="F36" s="19" t="s">
        <v>153</v>
      </c>
      <c r="G36" s="27">
        <v>42664.0</v>
      </c>
      <c r="H36" s="18">
        <v>10.0</v>
      </c>
      <c r="I36" s="21">
        <v>1.0</v>
      </c>
      <c r="J36" s="22">
        <v>1359.25</v>
      </c>
      <c r="K36" s="23">
        <v>1359.25</v>
      </c>
      <c r="L36" s="18" t="s">
        <v>16</v>
      </c>
      <c r="M36" s="18" t="s">
        <v>16</v>
      </c>
      <c r="N36" s="22">
        <v>1359.25</v>
      </c>
      <c r="O36" s="18" t="s">
        <v>16</v>
      </c>
      <c r="P36" s="18" t="s">
        <v>16</v>
      </c>
      <c r="Q36" s="25"/>
    </row>
    <row r="37" hidden="1">
      <c r="A37" s="4" t="s">
        <v>75</v>
      </c>
      <c r="B37" s="24"/>
      <c r="C37" s="18">
        <v>55.0</v>
      </c>
      <c r="D37" s="19" t="s">
        <v>11</v>
      </c>
      <c r="E37" s="19" t="s">
        <v>154</v>
      </c>
      <c r="F37" s="19" t="s">
        <v>155</v>
      </c>
      <c r="G37" s="20">
        <v>42552.0</v>
      </c>
      <c r="H37" s="18">
        <v>7.0</v>
      </c>
      <c r="I37" s="21">
        <v>1.0</v>
      </c>
      <c r="J37" s="22">
        <v>2220.0</v>
      </c>
      <c r="K37" s="23">
        <v>2220.0</v>
      </c>
      <c r="L37" s="18" t="s">
        <v>16</v>
      </c>
      <c r="M37" s="18" t="s">
        <v>16</v>
      </c>
      <c r="N37" s="18" t="s">
        <v>16</v>
      </c>
      <c r="O37" s="18" t="s">
        <v>16</v>
      </c>
      <c r="P37" s="22">
        <v>2220.0</v>
      </c>
      <c r="Q37" s="25"/>
    </row>
    <row r="38" hidden="1">
      <c r="A38" s="4" t="s">
        <v>75</v>
      </c>
      <c r="B38" s="24"/>
      <c r="C38" s="18">
        <v>56.0</v>
      </c>
      <c r="D38" s="19" t="s">
        <v>11</v>
      </c>
      <c r="E38" s="19" t="s">
        <v>154</v>
      </c>
      <c r="F38" s="19" t="s">
        <v>156</v>
      </c>
      <c r="G38" s="20">
        <v>42583.0</v>
      </c>
      <c r="H38" s="18">
        <v>8.0</v>
      </c>
      <c r="I38" s="21">
        <v>1.0</v>
      </c>
      <c r="J38" s="22">
        <v>2220.0</v>
      </c>
      <c r="K38" s="23">
        <v>2220.0</v>
      </c>
      <c r="L38" s="18" t="s">
        <v>16</v>
      </c>
      <c r="M38" s="18" t="s">
        <v>16</v>
      </c>
      <c r="N38" s="18" t="s">
        <v>16</v>
      </c>
      <c r="O38" s="18" t="s">
        <v>16</v>
      </c>
      <c r="P38" s="22">
        <v>2220.0</v>
      </c>
      <c r="Q38" s="25"/>
    </row>
    <row r="39" hidden="1">
      <c r="A39" s="4" t="s">
        <v>75</v>
      </c>
      <c r="B39" s="24"/>
      <c r="C39" s="18">
        <v>57.0</v>
      </c>
      <c r="D39" s="19" t="s">
        <v>11</v>
      </c>
      <c r="E39" s="19" t="s">
        <v>154</v>
      </c>
      <c r="F39" s="19" t="s">
        <v>157</v>
      </c>
      <c r="G39" s="20">
        <v>42618.0</v>
      </c>
      <c r="H39" s="18">
        <v>9.0</v>
      </c>
      <c r="I39" s="21">
        <v>1.0</v>
      </c>
      <c r="J39" s="22">
        <v>2220.0</v>
      </c>
      <c r="K39" s="23">
        <v>2220.0</v>
      </c>
      <c r="L39" s="18" t="s">
        <v>16</v>
      </c>
      <c r="M39" s="18" t="s">
        <v>16</v>
      </c>
      <c r="N39" s="18" t="s">
        <v>16</v>
      </c>
      <c r="O39" s="18" t="s">
        <v>16</v>
      </c>
      <c r="P39" s="22">
        <v>2220.0</v>
      </c>
      <c r="Q39" s="25"/>
    </row>
    <row r="40" hidden="1">
      <c r="A40" s="4" t="s">
        <v>75</v>
      </c>
      <c r="B40" s="24"/>
      <c r="C40" s="18">
        <v>58.0</v>
      </c>
      <c r="D40" s="19" t="s">
        <v>11</v>
      </c>
      <c r="E40" s="19" t="s">
        <v>154</v>
      </c>
      <c r="F40" s="19" t="s">
        <v>158</v>
      </c>
      <c r="G40" s="20">
        <v>42646.0</v>
      </c>
      <c r="H40" s="18">
        <v>10.0</v>
      </c>
      <c r="I40" s="21">
        <v>1.0</v>
      </c>
      <c r="J40" s="22">
        <v>2220.0</v>
      </c>
      <c r="K40" s="23">
        <v>2220.0</v>
      </c>
      <c r="L40" s="18" t="s">
        <v>16</v>
      </c>
      <c r="M40" s="18" t="s">
        <v>16</v>
      </c>
      <c r="N40" s="18" t="s">
        <v>16</v>
      </c>
      <c r="O40" s="18" t="s">
        <v>16</v>
      </c>
      <c r="P40" s="22">
        <v>2220.0</v>
      </c>
      <c r="Q40" s="25"/>
    </row>
    <row r="41" hidden="1">
      <c r="A41" s="4" t="s">
        <v>75</v>
      </c>
      <c r="B41" s="24"/>
      <c r="C41" s="18">
        <v>59.0</v>
      </c>
      <c r="D41" s="19" t="s">
        <v>11</v>
      </c>
      <c r="E41" s="19" t="s">
        <v>154</v>
      </c>
      <c r="F41" s="19" t="s">
        <v>159</v>
      </c>
      <c r="G41" s="20">
        <v>42675.0</v>
      </c>
      <c r="H41" s="18">
        <v>11.0</v>
      </c>
      <c r="I41" s="21">
        <v>1.0</v>
      </c>
      <c r="J41" s="22">
        <v>2220.0</v>
      </c>
      <c r="K41" s="23">
        <v>2220.0</v>
      </c>
      <c r="L41" s="18" t="s">
        <v>16</v>
      </c>
      <c r="M41" s="18" t="s">
        <v>16</v>
      </c>
      <c r="N41" s="18" t="s">
        <v>16</v>
      </c>
      <c r="O41" s="18" t="s">
        <v>16</v>
      </c>
      <c r="P41" s="22">
        <v>2220.0</v>
      </c>
      <c r="Q41" s="25"/>
    </row>
    <row r="42" hidden="1">
      <c r="A42" s="4" t="s">
        <v>75</v>
      </c>
      <c r="B42" s="24"/>
      <c r="C42" s="18">
        <v>60.0</v>
      </c>
      <c r="D42" s="19" t="s">
        <v>11</v>
      </c>
      <c r="E42" s="19" t="s">
        <v>154</v>
      </c>
      <c r="F42" s="19" t="s">
        <v>160</v>
      </c>
      <c r="G42" s="20">
        <v>42705.0</v>
      </c>
      <c r="H42" s="18">
        <v>12.0</v>
      </c>
      <c r="I42" s="21">
        <v>1.0</v>
      </c>
      <c r="J42" s="22">
        <v>2220.0</v>
      </c>
      <c r="K42" s="23">
        <v>2220.0</v>
      </c>
      <c r="L42" s="18" t="s">
        <v>16</v>
      </c>
      <c r="M42" s="18" t="s">
        <v>16</v>
      </c>
      <c r="N42" s="18" t="s">
        <v>16</v>
      </c>
      <c r="O42" s="18" t="s">
        <v>16</v>
      </c>
      <c r="P42" s="22">
        <v>2220.0</v>
      </c>
      <c r="Q42" s="25"/>
    </row>
    <row r="43" hidden="1">
      <c r="A43" s="4" t="s">
        <v>75</v>
      </c>
      <c r="B43" s="24"/>
      <c r="C43" s="18">
        <v>61.0</v>
      </c>
      <c r="D43" s="19" t="s">
        <v>11</v>
      </c>
      <c r="E43" s="19" t="s">
        <v>154</v>
      </c>
      <c r="F43" s="19" t="s">
        <v>161</v>
      </c>
      <c r="G43" s="20">
        <v>42627.0</v>
      </c>
      <c r="H43" s="18">
        <v>9.0</v>
      </c>
      <c r="I43" s="21">
        <v>1.0</v>
      </c>
      <c r="J43" s="18">
        <v>40.0</v>
      </c>
      <c r="K43" s="26">
        <v>40.0</v>
      </c>
      <c r="L43" s="18" t="s">
        <v>16</v>
      </c>
      <c r="M43" s="18" t="s">
        <v>16</v>
      </c>
      <c r="N43" s="18" t="s">
        <v>16</v>
      </c>
      <c r="O43" s="18" t="s">
        <v>16</v>
      </c>
      <c r="P43" s="18">
        <v>40.0</v>
      </c>
      <c r="Q43" s="25"/>
    </row>
    <row r="44" hidden="1">
      <c r="A44" s="4" t="s">
        <v>75</v>
      </c>
      <c r="B44" s="24"/>
      <c r="C44" s="18">
        <v>62.0</v>
      </c>
      <c r="D44" s="19" t="s">
        <v>11</v>
      </c>
      <c r="E44" s="19" t="s">
        <v>154</v>
      </c>
      <c r="F44" s="19" t="s">
        <v>162</v>
      </c>
      <c r="G44" s="20">
        <v>42622.0</v>
      </c>
      <c r="H44" s="18">
        <v>9.0</v>
      </c>
      <c r="I44" s="21">
        <v>1.0</v>
      </c>
      <c r="J44" s="18">
        <v>50.0</v>
      </c>
      <c r="K44" s="26">
        <v>50.0</v>
      </c>
      <c r="L44" s="18" t="s">
        <v>16</v>
      </c>
      <c r="M44" s="18" t="s">
        <v>16</v>
      </c>
      <c r="N44" s="18" t="s">
        <v>16</v>
      </c>
      <c r="O44" s="18" t="s">
        <v>16</v>
      </c>
      <c r="P44" s="18">
        <v>50.0</v>
      </c>
      <c r="Q44" s="25"/>
    </row>
    <row r="45" hidden="1">
      <c r="A45" s="4" t="s">
        <v>75</v>
      </c>
      <c r="B45" s="24"/>
      <c r="C45" s="18">
        <v>64.0</v>
      </c>
      <c r="D45" s="19" t="s">
        <v>11</v>
      </c>
      <c r="E45" s="19" t="s">
        <v>154</v>
      </c>
      <c r="F45" s="19" t="s">
        <v>163</v>
      </c>
      <c r="G45" s="27">
        <v>42671.0</v>
      </c>
      <c r="H45" s="18">
        <v>10.0</v>
      </c>
      <c r="I45" s="21">
        <v>1.0</v>
      </c>
      <c r="J45" s="18">
        <v>250.0</v>
      </c>
      <c r="K45" s="26">
        <v>250.0</v>
      </c>
      <c r="L45" s="18" t="s">
        <v>16</v>
      </c>
      <c r="M45" s="18" t="s">
        <v>16</v>
      </c>
      <c r="N45" s="18" t="s">
        <v>16</v>
      </c>
      <c r="O45" s="18" t="s">
        <v>16</v>
      </c>
      <c r="P45" s="18">
        <v>250.0</v>
      </c>
      <c r="Q45" s="25"/>
    </row>
    <row r="46" hidden="1">
      <c r="A46" s="4" t="s">
        <v>75</v>
      </c>
      <c r="B46" s="24"/>
      <c r="C46" s="18">
        <v>67.0</v>
      </c>
      <c r="D46" s="19" t="s">
        <v>11</v>
      </c>
      <c r="E46" s="19" t="s">
        <v>154</v>
      </c>
      <c r="F46" s="19" t="s">
        <v>162</v>
      </c>
      <c r="G46" s="20">
        <v>42423.0</v>
      </c>
      <c r="H46" s="18">
        <v>2.0</v>
      </c>
      <c r="I46" s="21">
        <v>1.0</v>
      </c>
      <c r="J46" s="18">
        <v>50.0</v>
      </c>
      <c r="K46" s="26">
        <v>50.0</v>
      </c>
      <c r="L46" s="18" t="s">
        <v>16</v>
      </c>
      <c r="M46" s="18" t="s">
        <v>16</v>
      </c>
      <c r="N46" s="18" t="s">
        <v>16</v>
      </c>
      <c r="O46" s="18" t="s">
        <v>16</v>
      </c>
      <c r="P46" s="18">
        <v>50.0</v>
      </c>
      <c r="Q46" s="25"/>
    </row>
    <row r="47" hidden="1">
      <c r="A47" s="4" t="s">
        <v>75</v>
      </c>
      <c r="B47" s="25"/>
      <c r="C47" s="18">
        <v>70.0</v>
      </c>
      <c r="D47" s="19" t="s">
        <v>11</v>
      </c>
      <c r="E47" s="19" t="s">
        <v>154</v>
      </c>
      <c r="F47" s="19" t="s">
        <v>162</v>
      </c>
      <c r="G47" s="7">
        <v>42437.0</v>
      </c>
      <c r="H47" s="18">
        <v>3.0</v>
      </c>
      <c r="I47" s="28">
        <v>1.0</v>
      </c>
      <c r="J47" s="29">
        <v>25.0</v>
      </c>
      <c r="K47" s="26">
        <v>25.0</v>
      </c>
      <c r="L47" s="18" t="s">
        <v>16</v>
      </c>
      <c r="M47" s="18" t="s">
        <v>16</v>
      </c>
      <c r="N47" s="18" t="s">
        <v>16</v>
      </c>
      <c r="O47" s="18" t="s">
        <v>16</v>
      </c>
      <c r="P47" s="18">
        <v>25.0</v>
      </c>
      <c r="Q47" s="25"/>
    </row>
    <row r="48" hidden="1">
      <c r="A48" s="4" t="s">
        <v>75</v>
      </c>
      <c r="B48" s="24"/>
      <c r="C48" s="18">
        <v>78.0</v>
      </c>
      <c r="D48" s="19" t="s">
        <v>11</v>
      </c>
      <c r="E48" s="19" t="s">
        <v>154</v>
      </c>
      <c r="F48" s="19" t="s">
        <v>164</v>
      </c>
      <c r="G48" s="20">
        <v>42380.0</v>
      </c>
      <c r="H48" s="18">
        <v>1.0</v>
      </c>
      <c r="I48" s="21">
        <v>1.0</v>
      </c>
      <c r="J48" s="22">
        <v>2220.0</v>
      </c>
      <c r="K48" s="23">
        <v>2220.0</v>
      </c>
      <c r="L48" s="18" t="s">
        <v>16</v>
      </c>
      <c r="M48" s="18" t="s">
        <v>16</v>
      </c>
      <c r="N48" s="18" t="s">
        <v>16</v>
      </c>
      <c r="O48" s="18" t="s">
        <v>16</v>
      </c>
      <c r="P48" s="22">
        <v>2220.0</v>
      </c>
      <c r="Q48" s="30"/>
    </row>
    <row r="49" hidden="1">
      <c r="A49" s="4" t="s">
        <v>75</v>
      </c>
      <c r="B49" s="24"/>
      <c r="C49" s="18">
        <v>79.0</v>
      </c>
      <c r="D49" s="19" t="s">
        <v>11</v>
      </c>
      <c r="E49" s="19" t="s">
        <v>154</v>
      </c>
      <c r="F49" s="19" t="s">
        <v>165</v>
      </c>
      <c r="G49" s="20">
        <v>42401.0</v>
      </c>
      <c r="H49" s="18">
        <v>2.0</v>
      </c>
      <c r="I49" s="21">
        <v>1.0</v>
      </c>
      <c r="J49" s="22">
        <v>2220.0</v>
      </c>
      <c r="K49" s="23">
        <v>2220.0</v>
      </c>
      <c r="L49" s="18" t="s">
        <v>16</v>
      </c>
      <c r="M49" s="18" t="s">
        <v>16</v>
      </c>
      <c r="N49" s="18" t="s">
        <v>16</v>
      </c>
      <c r="O49" s="18" t="s">
        <v>16</v>
      </c>
      <c r="P49" s="22">
        <v>2220.0</v>
      </c>
      <c r="Q49" s="30"/>
    </row>
    <row r="50" hidden="1">
      <c r="A50" s="4" t="s">
        <v>75</v>
      </c>
      <c r="B50" s="24"/>
      <c r="C50" s="18">
        <v>80.0</v>
      </c>
      <c r="D50" s="19" t="s">
        <v>11</v>
      </c>
      <c r="E50" s="19" t="s">
        <v>154</v>
      </c>
      <c r="F50" s="19" t="s">
        <v>166</v>
      </c>
      <c r="G50" s="20">
        <v>42430.0</v>
      </c>
      <c r="H50" s="18">
        <v>3.0</v>
      </c>
      <c r="I50" s="21">
        <v>1.0</v>
      </c>
      <c r="J50" s="22">
        <v>2220.0</v>
      </c>
      <c r="K50" s="23">
        <v>2220.0</v>
      </c>
      <c r="L50" s="18" t="s">
        <v>16</v>
      </c>
      <c r="M50" s="18" t="s">
        <v>16</v>
      </c>
      <c r="N50" s="18" t="s">
        <v>16</v>
      </c>
      <c r="O50" s="18" t="s">
        <v>16</v>
      </c>
      <c r="P50" s="22">
        <v>2220.0</v>
      </c>
      <c r="Q50" s="30"/>
    </row>
    <row r="51" hidden="1">
      <c r="A51" s="4" t="s">
        <v>75</v>
      </c>
      <c r="B51" s="24"/>
      <c r="C51" s="18">
        <v>81.0</v>
      </c>
      <c r="D51" s="19" t="s">
        <v>11</v>
      </c>
      <c r="E51" s="19" t="s">
        <v>154</v>
      </c>
      <c r="F51" s="19" t="s">
        <v>167</v>
      </c>
      <c r="G51" s="20">
        <v>42461.0</v>
      </c>
      <c r="H51" s="18">
        <v>4.0</v>
      </c>
      <c r="I51" s="21">
        <v>1.0</v>
      </c>
      <c r="J51" s="22">
        <v>2220.0</v>
      </c>
      <c r="K51" s="23">
        <v>2220.0</v>
      </c>
      <c r="L51" s="18" t="s">
        <v>16</v>
      </c>
      <c r="M51" s="18" t="s">
        <v>16</v>
      </c>
      <c r="N51" s="18" t="s">
        <v>16</v>
      </c>
      <c r="O51" s="18" t="s">
        <v>16</v>
      </c>
      <c r="P51" s="22">
        <v>2220.0</v>
      </c>
      <c r="Q51" s="30"/>
    </row>
    <row r="52" hidden="1">
      <c r="A52" s="4" t="s">
        <v>75</v>
      </c>
      <c r="B52" s="24"/>
      <c r="C52" s="18">
        <v>82.0</v>
      </c>
      <c r="D52" s="19" t="s">
        <v>11</v>
      </c>
      <c r="E52" s="19" t="s">
        <v>154</v>
      </c>
      <c r="F52" s="19" t="s">
        <v>168</v>
      </c>
      <c r="G52" s="20">
        <v>42492.0</v>
      </c>
      <c r="H52" s="18">
        <v>5.0</v>
      </c>
      <c r="I52" s="21">
        <v>1.0</v>
      </c>
      <c r="J52" s="22">
        <v>2220.0</v>
      </c>
      <c r="K52" s="23">
        <v>2220.0</v>
      </c>
      <c r="L52" s="18" t="s">
        <v>16</v>
      </c>
      <c r="M52" s="18" t="s">
        <v>16</v>
      </c>
      <c r="N52" s="18" t="s">
        <v>16</v>
      </c>
      <c r="O52" s="18" t="s">
        <v>16</v>
      </c>
      <c r="P52" s="22">
        <v>2220.0</v>
      </c>
      <c r="Q52" s="30"/>
    </row>
    <row r="53" hidden="1">
      <c r="A53" s="4" t="s">
        <v>75</v>
      </c>
      <c r="B53" s="24"/>
      <c r="C53" s="18">
        <v>83.0</v>
      </c>
      <c r="D53" s="19" t="s">
        <v>11</v>
      </c>
      <c r="E53" s="19" t="s">
        <v>154</v>
      </c>
      <c r="F53" s="19" t="s">
        <v>169</v>
      </c>
      <c r="G53" s="20">
        <v>42522.0</v>
      </c>
      <c r="H53" s="18">
        <v>6.0</v>
      </c>
      <c r="I53" s="21">
        <v>1.0</v>
      </c>
      <c r="J53" s="22">
        <v>2220.0</v>
      </c>
      <c r="K53" s="23">
        <v>2220.0</v>
      </c>
      <c r="L53" s="18" t="s">
        <v>16</v>
      </c>
      <c r="M53" s="18" t="s">
        <v>16</v>
      </c>
      <c r="N53" s="18" t="s">
        <v>16</v>
      </c>
      <c r="O53" s="18" t="s">
        <v>16</v>
      </c>
      <c r="P53" s="22">
        <v>2220.0</v>
      </c>
      <c r="Q53" s="30"/>
    </row>
    <row r="54">
      <c r="A54" s="4" t="s">
        <v>170</v>
      </c>
      <c r="B54" s="18">
        <v>2.01600000000012E14</v>
      </c>
      <c r="C54" s="18">
        <v>84.0</v>
      </c>
      <c r="D54" s="19" t="s">
        <v>171</v>
      </c>
      <c r="E54" s="19" t="s">
        <v>172</v>
      </c>
      <c r="F54" s="19" t="s">
        <v>116</v>
      </c>
      <c r="G54" s="20">
        <v>42397.0</v>
      </c>
      <c r="H54" s="18">
        <v>1.0</v>
      </c>
      <c r="I54" s="21">
        <v>0.1</v>
      </c>
      <c r="J54" s="22">
        <v>37210.0</v>
      </c>
      <c r="K54" s="23">
        <v>3721.0</v>
      </c>
      <c r="L54" s="18">
        <v>930.25</v>
      </c>
      <c r="M54" s="18">
        <v>930.25</v>
      </c>
      <c r="N54" s="18">
        <v>930.25</v>
      </c>
      <c r="O54" s="18">
        <v>930.25</v>
      </c>
      <c r="P54" s="18" t="s">
        <v>16</v>
      </c>
      <c r="Q54" s="30"/>
    </row>
    <row r="55">
      <c r="A55" s="4" t="s">
        <v>170</v>
      </c>
      <c r="B55" s="18">
        <v>2.01600000000013E14</v>
      </c>
      <c r="C55" s="18">
        <v>85.0</v>
      </c>
      <c r="D55" s="19" t="s">
        <v>171</v>
      </c>
      <c r="E55" s="19" t="s">
        <v>172</v>
      </c>
      <c r="F55" s="19" t="s">
        <v>116</v>
      </c>
      <c r="G55" s="20">
        <v>42425.0</v>
      </c>
      <c r="H55" s="18">
        <v>2.0</v>
      </c>
      <c r="I55" s="21">
        <v>0.1</v>
      </c>
      <c r="J55" s="22">
        <v>31227.0</v>
      </c>
      <c r="K55" s="23">
        <v>3122.7</v>
      </c>
      <c r="L55" s="18">
        <v>780.68</v>
      </c>
      <c r="M55" s="18">
        <v>780.68</v>
      </c>
      <c r="N55" s="18">
        <v>780.68</v>
      </c>
      <c r="O55" s="18">
        <v>780.68</v>
      </c>
      <c r="P55" s="18" t="s">
        <v>16</v>
      </c>
      <c r="Q55" s="30"/>
    </row>
    <row r="56">
      <c r="A56" s="4" t="s">
        <v>170</v>
      </c>
      <c r="B56" s="18">
        <v>2.01600000000016E14</v>
      </c>
      <c r="C56" s="18">
        <v>86.0</v>
      </c>
      <c r="D56" s="19" t="s">
        <v>171</v>
      </c>
      <c r="E56" s="19" t="s">
        <v>172</v>
      </c>
      <c r="F56" s="19" t="s">
        <v>116</v>
      </c>
      <c r="G56" s="20">
        <v>42458.0</v>
      </c>
      <c r="H56" s="18">
        <v>3.0</v>
      </c>
      <c r="I56" s="21">
        <v>0.1</v>
      </c>
      <c r="J56" s="22">
        <v>31226.69</v>
      </c>
      <c r="K56" s="23">
        <v>3122.67</v>
      </c>
      <c r="L56" s="18">
        <v>780.67</v>
      </c>
      <c r="M56" s="18">
        <v>780.67</v>
      </c>
      <c r="N56" s="18">
        <v>780.67</v>
      </c>
      <c r="O56" s="18">
        <v>780.67</v>
      </c>
      <c r="P56" s="18" t="s">
        <v>16</v>
      </c>
      <c r="Q56" s="30"/>
    </row>
    <row r="57">
      <c r="A57" s="4" t="s">
        <v>170</v>
      </c>
      <c r="B57" s="18">
        <v>2.01600000000019E14</v>
      </c>
      <c r="C57" s="18">
        <v>87.0</v>
      </c>
      <c r="D57" s="19" t="s">
        <v>171</v>
      </c>
      <c r="E57" s="19" t="s">
        <v>172</v>
      </c>
      <c r="F57" s="19" t="s">
        <v>116</v>
      </c>
      <c r="G57" s="20">
        <v>42488.0</v>
      </c>
      <c r="H57" s="18">
        <v>4.0</v>
      </c>
      <c r="I57" s="21">
        <v>0.1</v>
      </c>
      <c r="J57" s="22">
        <v>31226.69</v>
      </c>
      <c r="K57" s="23">
        <v>3122.67</v>
      </c>
      <c r="L57" s="18">
        <v>780.67</v>
      </c>
      <c r="M57" s="18">
        <v>780.67</v>
      </c>
      <c r="N57" s="18">
        <v>780.67</v>
      </c>
      <c r="O57" s="18">
        <v>780.67</v>
      </c>
      <c r="P57" s="18" t="s">
        <v>16</v>
      </c>
      <c r="Q57" s="30"/>
    </row>
    <row r="58">
      <c r="A58" s="4" t="s">
        <v>170</v>
      </c>
      <c r="B58" s="18">
        <v>2.01600000000023E14</v>
      </c>
      <c r="C58" s="18">
        <v>88.0</v>
      </c>
      <c r="D58" s="19" t="s">
        <v>171</v>
      </c>
      <c r="E58" s="19" t="s">
        <v>172</v>
      </c>
      <c r="F58" s="19" t="s">
        <v>116</v>
      </c>
      <c r="G58" s="20">
        <v>42517.0</v>
      </c>
      <c r="H58" s="18">
        <v>5.0</v>
      </c>
      <c r="I58" s="21">
        <v>0.1</v>
      </c>
      <c r="J58" s="22">
        <v>28557.0</v>
      </c>
      <c r="K58" s="23">
        <v>2855.7</v>
      </c>
      <c r="L58" s="18">
        <v>713.93</v>
      </c>
      <c r="M58" s="18">
        <v>713.93</v>
      </c>
      <c r="N58" s="18">
        <v>713.93</v>
      </c>
      <c r="O58" s="18">
        <v>713.93</v>
      </c>
      <c r="P58" s="18" t="s">
        <v>16</v>
      </c>
      <c r="Q58" s="30"/>
    </row>
    <row r="59">
      <c r="A59" s="4" t="s">
        <v>170</v>
      </c>
      <c r="B59" s="18">
        <v>2.01600000000024E14</v>
      </c>
      <c r="C59" s="18">
        <v>89.0</v>
      </c>
      <c r="D59" s="19" t="s">
        <v>171</v>
      </c>
      <c r="E59" s="19" t="s">
        <v>172</v>
      </c>
      <c r="F59" s="19" t="s">
        <v>116</v>
      </c>
      <c r="G59" s="20">
        <v>42550.0</v>
      </c>
      <c r="H59" s="18">
        <v>6.0</v>
      </c>
      <c r="I59" s="21">
        <v>0.1</v>
      </c>
      <c r="J59" s="22">
        <v>28557.0</v>
      </c>
      <c r="K59" s="23">
        <v>2855.7</v>
      </c>
      <c r="L59" s="18">
        <v>713.93</v>
      </c>
      <c r="M59" s="18">
        <v>713.93</v>
      </c>
      <c r="N59" s="18">
        <v>713.93</v>
      </c>
      <c r="O59" s="18">
        <v>713.93</v>
      </c>
      <c r="P59" s="18" t="s">
        <v>16</v>
      </c>
      <c r="Q59" s="30"/>
    </row>
    <row r="60">
      <c r="A60" s="4" t="s">
        <v>170</v>
      </c>
      <c r="B60" s="18">
        <v>2.01600000000028E14</v>
      </c>
      <c r="C60" s="18">
        <v>90.0</v>
      </c>
      <c r="D60" s="19" t="s">
        <v>171</v>
      </c>
      <c r="E60" s="19" t="s">
        <v>172</v>
      </c>
      <c r="F60" s="19" t="s">
        <v>116</v>
      </c>
      <c r="G60" s="20">
        <v>42579.0</v>
      </c>
      <c r="H60" s="18">
        <v>7.0</v>
      </c>
      <c r="I60" s="21">
        <v>0.1</v>
      </c>
      <c r="J60" s="22">
        <v>28557.0</v>
      </c>
      <c r="K60" s="23">
        <v>2855.7</v>
      </c>
      <c r="L60" s="18">
        <v>713.93</v>
      </c>
      <c r="M60" s="18">
        <v>713.93</v>
      </c>
      <c r="N60" s="18">
        <v>713.93</v>
      </c>
      <c r="O60" s="18">
        <v>713.93</v>
      </c>
      <c r="P60" s="18" t="s">
        <v>16</v>
      </c>
      <c r="Q60" s="30"/>
    </row>
    <row r="61">
      <c r="A61" s="4" t="s">
        <v>170</v>
      </c>
      <c r="B61" s="18">
        <v>2.01600000000029E14</v>
      </c>
      <c r="C61" s="18">
        <v>91.0</v>
      </c>
      <c r="D61" s="19" t="s">
        <v>171</v>
      </c>
      <c r="E61" s="19" t="s">
        <v>172</v>
      </c>
      <c r="F61" s="19" t="s">
        <v>116</v>
      </c>
      <c r="G61" s="20">
        <v>42611.0</v>
      </c>
      <c r="H61" s="18">
        <v>8.0</v>
      </c>
      <c r="I61" s="21">
        <v>0.1</v>
      </c>
      <c r="J61" s="22">
        <v>28557.0</v>
      </c>
      <c r="K61" s="23">
        <v>2855.7</v>
      </c>
      <c r="L61" s="18">
        <v>713.93</v>
      </c>
      <c r="M61" s="18">
        <v>713.93</v>
      </c>
      <c r="N61" s="18">
        <v>713.93</v>
      </c>
      <c r="O61" s="18">
        <v>713.93</v>
      </c>
      <c r="P61" s="18" t="s">
        <v>16</v>
      </c>
      <c r="Q61" s="30"/>
    </row>
    <row r="62">
      <c r="A62" s="4" t="s">
        <v>170</v>
      </c>
      <c r="B62" s="18">
        <v>2.01600000000032E14</v>
      </c>
      <c r="C62" s="18">
        <v>92.0</v>
      </c>
      <c r="D62" s="19" t="s">
        <v>171</v>
      </c>
      <c r="E62" s="19" t="s">
        <v>172</v>
      </c>
      <c r="F62" s="19" t="s">
        <v>116</v>
      </c>
      <c r="G62" s="20">
        <v>42642.0</v>
      </c>
      <c r="H62" s="18">
        <v>9.0</v>
      </c>
      <c r="I62" s="21">
        <v>0.1</v>
      </c>
      <c r="J62" s="22">
        <v>28557.0</v>
      </c>
      <c r="K62" s="23">
        <v>2855.7</v>
      </c>
      <c r="L62" s="18">
        <v>713.93</v>
      </c>
      <c r="M62" s="18">
        <v>713.93</v>
      </c>
      <c r="N62" s="18">
        <v>713.93</v>
      </c>
      <c r="O62" s="18">
        <v>713.93</v>
      </c>
      <c r="P62" s="18" t="s">
        <v>16</v>
      </c>
      <c r="Q62" s="30"/>
    </row>
    <row r="63">
      <c r="A63" s="4" t="s">
        <v>170</v>
      </c>
      <c r="B63" s="18">
        <v>2.01600000000035E14</v>
      </c>
      <c r="C63" s="18">
        <v>93.0</v>
      </c>
      <c r="D63" s="19" t="s">
        <v>171</v>
      </c>
      <c r="E63" s="19" t="s">
        <v>172</v>
      </c>
      <c r="F63" s="19" t="s">
        <v>116</v>
      </c>
      <c r="G63" s="27">
        <v>42674.0</v>
      </c>
      <c r="H63" s="18">
        <v>10.0</v>
      </c>
      <c r="I63" s="21">
        <v>0.1</v>
      </c>
      <c r="J63" s="22">
        <v>28557.0</v>
      </c>
      <c r="K63" s="23">
        <v>2855.7</v>
      </c>
      <c r="L63" s="18">
        <v>713.93</v>
      </c>
      <c r="M63" s="18">
        <v>713.93</v>
      </c>
      <c r="N63" s="18">
        <v>713.93</v>
      </c>
      <c r="O63" s="18">
        <v>713.93</v>
      </c>
      <c r="P63" s="18" t="s">
        <v>16</v>
      </c>
      <c r="Q63" s="30"/>
    </row>
    <row r="64">
      <c r="A64" s="4" t="s">
        <v>170</v>
      </c>
      <c r="B64" s="18">
        <v>2.01600000000038E14</v>
      </c>
      <c r="C64" s="18">
        <v>94.0</v>
      </c>
      <c r="D64" s="19" t="s">
        <v>171</v>
      </c>
      <c r="E64" s="19" t="s">
        <v>172</v>
      </c>
      <c r="F64" s="19" t="s">
        <v>116</v>
      </c>
      <c r="G64" s="27">
        <v>42703.0</v>
      </c>
      <c r="H64" s="18">
        <v>11.0</v>
      </c>
      <c r="I64" s="21">
        <v>0.1</v>
      </c>
      <c r="J64" s="22">
        <v>28557.0</v>
      </c>
      <c r="K64" s="23">
        <v>2855.7</v>
      </c>
      <c r="L64" s="18">
        <v>713.93</v>
      </c>
      <c r="M64" s="18">
        <v>713.93</v>
      </c>
      <c r="N64" s="18">
        <v>713.93</v>
      </c>
      <c r="O64" s="18">
        <v>713.93</v>
      </c>
      <c r="P64" s="18" t="s">
        <v>16</v>
      </c>
      <c r="Q64" s="30"/>
    </row>
    <row r="65">
      <c r="A65" s="4" t="s">
        <v>170</v>
      </c>
      <c r="B65" s="18">
        <v>2.01600000000042E14</v>
      </c>
      <c r="C65" s="18">
        <v>95.0</v>
      </c>
      <c r="D65" s="19" t="s">
        <v>171</v>
      </c>
      <c r="E65" s="19" t="s">
        <v>172</v>
      </c>
      <c r="F65" s="19" t="s">
        <v>116</v>
      </c>
      <c r="G65" s="27">
        <v>42726.0</v>
      </c>
      <c r="H65" s="18">
        <v>12.0</v>
      </c>
      <c r="I65" s="21">
        <v>0.1</v>
      </c>
      <c r="J65" s="22">
        <v>28557.0</v>
      </c>
      <c r="K65" s="23">
        <v>2855.7</v>
      </c>
      <c r="L65" s="18">
        <v>713.93</v>
      </c>
      <c r="M65" s="18">
        <v>713.93</v>
      </c>
      <c r="N65" s="18">
        <v>713.93</v>
      </c>
      <c r="O65" s="18">
        <v>713.93</v>
      </c>
      <c r="P65" s="18" t="s">
        <v>16</v>
      </c>
      <c r="Q65" s="30"/>
    </row>
    <row r="66">
      <c r="A66" s="4" t="s">
        <v>170</v>
      </c>
      <c r="B66" s="18">
        <v>32.0</v>
      </c>
      <c r="C66" s="18">
        <v>96.0</v>
      </c>
      <c r="D66" s="19" t="s">
        <v>173</v>
      </c>
      <c r="E66" s="19" t="s">
        <v>174</v>
      </c>
      <c r="F66" s="19" t="s">
        <v>175</v>
      </c>
      <c r="G66" s="20">
        <v>42396.0</v>
      </c>
      <c r="H66" s="18">
        <v>1.0</v>
      </c>
      <c r="I66" s="21">
        <v>0.7</v>
      </c>
      <c r="J66" s="22">
        <v>14913.17</v>
      </c>
      <c r="K66" s="23">
        <v>10439.22</v>
      </c>
      <c r="L66" s="22">
        <v>2609.8</v>
      </c>
      <c r="M66" s="22">
        <v>2609.8</v>
      </c>
      <c r="N66" s="22">
        <v>2609.8</v>
      </c>
      <c r="O66" s="22">
        <v>2609.8</v>
      </c>
      <c r="P66" s="18" t="s">
        <v>16</v>
      </c>
      <c r="Q66" s="30"/>
    </row>
    <row r="67">
      <c r="A67" s="4" t="s">
        <v>170</v>
      </c>
      <c r="B67" s="18">
        <v>33.0</v>
      </c>
      <c r="C67" s="18">
        <v>97.0</v>
      </c>
      <c r="D67" s="19" t="s">
        <v>173</v>
      </c>
      <c r="E67" s="19" t="s">
        <v>174</v>
      </c>
      <c r="F67" s="19" t="s">
        <v>175</v>
      </c>
      <c r="G67" s="20">
        <v>42424.0</v>
      </c>
      <c r="H67" s="18">
        <v>2.0</v>
      </c>
      <c r="I67" s="21">
        <v>0.7</v>
      </c>
      <c r="J67" s="22">
        <v>14913.17</v>
      </c>
      <c r="K67" s="23">
        <v>10439.22</v>
      </c>
      <c r="L67" s="22">
        <v>2609.8</v>
      </c>
      <c r="M67" s="22">
        <v>2609.8</v>
      </c>
      <c r="N67" s="22">
        <v>2609.8</v>
      </c>
      <c r="O67" s="22">
        <v>2609.8</v>
      </c>
      <c r="P67" s="18" t="s">
        <v>16</v>
      </c>
      <c r="Q67" s="30"/>
    </row>
    <row r="68">
      <c r="A68" s="4" t="s">
        <v>170</v>
      </c>
      <c r="B68" s="18">
        <v>34.0</v>
      </c>
      <c r="C68" s="18">
        <v>98.0</v>
      </c>
      <c r="D68" s="19" t="s">
        <v>173</v>
      </c>
      <c r="E68" s="19" t="s">
        <v>174</v>
      </c>
      <c r="F68" s="19" t="s">
        <v>175</v>
      </c>
      <c r="G68" s="20">
        <v>42452.0</v>
      </c>
      <c r="H68" s="18">
        <v>3.0</v>
      </c>
      <c r="I68" s="21">
        <v>0.7</v>
      </c>
      <c r="J68" s="22">
        <v>12956.79</v>
      </c>
      <c r="K68" s="23">
        <v>9069.75</v>
      </c>
      <c r="L68" s="22">
        <v>2267.44</v>
      </c>
      <c r="M68" s="22">
        <v>2267.44</v>
      </c>
      <c r="N68" s="22">
        <v>2267.44</v>
      </c>
      <c r="O68" s="22">
        <v>2267.44</v>
      </c>
      <c r="P68" s="18" t="s">
        <v>16</v>
      </c>
      <c r="Q68" s="30"/>
    </row>
    <row r="69">
      <c r="A69" s="4" t="s">
        <v>170</v>
      </c>
      <c r="B69" s="18">
        <v>35.0</v>
      </c>
      <c r="C69" s="18">
        <v>99.0</v>
      </c>
      <c r="D69" s="19" t="s">
        <v>173</v>
      </c>
      <c r="E69" s="19" t="s">
        <v>174</v>
      </c>
      <c r="F69" s="19" t="s">
        <v>175</v>
      </c>
      <c r="G69" s="20">
        <v>42485.0</v>
      </c>
      <c r="H69" s="18">
        <v>4.0</v>
      </c>
      <c r="I69" s="21">
        <v>0.7</v>
      </c>
      <c r="J69" s="22">
        <v>12956.79</v>
      </c>
      <c r="K69" s="23">
        <v>9069.75</v>
      </c>
      <c r="L69" s="22">
        <v>2267.44</v>
      </c>
      <c r="M69" s="22">
        <v>2267.44</v>
      </c>
      <c r="N69" s="22">
        <v>2267.44</v>
      </c>
      <c r="O69" s="22">
        <v>2267.44</v>
      </c>
      <c r="P69" s="18" t="s">
        <v>16</v>
      </c>
      <c r="Q69" s="30"/>
    </row>
    <row r="70">
      <c r="A70" s="4" t="s">
        <v>170</v>
      </c>
      <c r="B70" s="18">
        <v>36.0</v>
      </c>
      <c r="C70" s="18">
        <v>100.0</v>
      </c>
      <c r="D70" s="19" t="s">
        <v>173</v>
      </c>
      <c r="E70" s="19" t="s">
        <v>174</v>
      </c>
      <c r="F70" s="19" t="s">
        <v>175</v>
      </c>
      <c r="G70" s="20">
        <v>42517.0</v>
      </c>
      <c r="H70" s="18">
        <v>5.0</v>
      </c>
      <c r="I70" s="21">
        <v>0.7</v>
      </c>
      <c r="J70" s="22">
        <v>12956.79</v>
      </c>
      <c r="K70" s="23">
        <v>9069.75</v>
      </c>
      <c r="L70" s="22">
        <v>2267.44</v>
      </c>
      <c r="M70" s="22">
        <v>2267.44</v>
      </c>
      <c r="N70" s="22">
        <v>2267.44</v>
      </c>
      <c r="O70" s="22">
        <v>2267.44</v>
      </c>
      <c r="P70" s="18" t="s">
        <v>16</v>
      </c>
      <c r="Q70" s="30"/>
    </row>
    <row r="71">
      <c r="A71" s="4" t="s">
        <v>170</v>
      </c>
      <c r="B71" s="18">
        <v>37.0</v>
      </c>
      <c r="C71" s="18">
        <v>101.0</v>
      </c>
      <c r="D71" s="19" t="s">
        <v>173</v>
      </c>
      <c r="E71" s="19" t="s">
        <v>174</v>
      </c>
      <c r="F71" s="19" t="s">
        <v>175</v>
      </c>
      <c r="G71" s="20">
        <v>42548.0</v>
      </c>
      <c r="H71" s="18">
        <v>6.0</v>
      </c>
      <c r="I71" s="21">
        <v>0.7</v>
      </c>
      <c r="J71" s="22">
        <v>12956.79</v>
      </c>
      <c r="K71" s="23">
        <v>9069.75</v>
      </c>
      <c r="L71" s="22">
        <v>2267.44</v>
      </c>
      <c r="M71" s="22">
        <v>2267.44</v>
      </c>
      <c r="N71" s="22">
        <v>2267.44</v>
      </c>
      <c r="O71" s="22">
        <v>2267.44</v>
      </c>
      <c r="P71" s="18" t="s">
        <v>16</v>
      </c>
      <c r="Q71" s="30"/>
    </row>
    <row r="72">
      <c r="A72" s="4" t="s">
        <v>170</v>
      </c>
      <c r="B72" s="18">
        <v>38.0</v>
      </c>
      <c r="C72" s="18">
        <v>102.0</v>
      </c>
      <c r="D72" s="19" t="s">
        <v>173</v>
      </c>
      <c r="E72" s="19" t="s">
        <v>174</v>
      </c>
      <c r="F72" s="19" t="s">
        <v>175</v>
      </c>
      <c r="G72" s="20">
        <v>42576.0</v>
      </c>
      <c r="H72" s="18">
        <v>7.0</v>
      </c>
      <c r="I72" s="21">
        <v>0.7</v>
      </c>
      <c r="J72" s="22">
        <v>12956.79</v>
      </c>
      <c r="K72" s="23">
        <v>9069.75</v>
      </c>
      <c r="L72" s="22">
        <v>2267.44</v>
      </c>
      <c r="M72" s="22">
        <v>2267.44</v>
      </c>
      <c r="N72" s="22">
        <v>2267.44</v>
      </c>
      <c r="O72" s="22">
        <v>2267.44</v>
      </c>
      <c r="P72" s="18" t="s">
        <v>16</v>
      </c>
      <c r="Q72" s="30"/>
    </row>
    <row r="73">
      <c r="A73" s="4" t="s">
        <v>170</v>
      </c>
      <c r="B73" s="18">
        <v>39.0</v>
      </c>
      <c r="C73" s="18">
        <v>103.0</v>
      </c>
      <c r="D73" s="19" t="s">
        <v>173</v>
      </c>
      <c r="E73" s="19" t="s">
        <v>174</v>
      </c>
      <c r="F73" s="19" t="s">
        <v>175</v>
      </c>
      <c r="G73" s="20">
        <v>42607.0</v>
      </c>
      <c r="H73" s="18">
        <v>8.0</v>
      </c>
      <c r="I73" s="21">
        <v>0.7</v>
      </c>
      <c r="J73" s="22">
        <v>12956.79</v>
      </c>
      <c r="K73" s="23">
        <v>9069.75</v>
      </c>
      <c r="L73" s="22">
        <v>2267.44</v>
      </c>
      <c r="M73" s="22">
        <v>2267.44</v>
      </c>
      <c r="N73" s="22">
        <v>2267.44</v>
      </c>
      <c r="O73" s="22">
        <v>2267.44</v>
      </c>
      <c r="P73" s="18" t="s">
        <v>16</v>
      </c>
      <c r="Q73" s="30"/>
    </row>
    <row r="74">
      <c r="A74" s="4" t="s">
        <v>170</v>
      </c>
      <c r="B74" s="18">
        <v>40.0</v>
      </c>
      <c r="C74" s="18">
        <v>104.0</v>
      </c>
      <c r="D74" s="19" t="s">
        <v>173</v>
      </c>
      <c r="E74" s="19" t="s">
        <v>174</v>
      </c>
      <c r="F74" s="19" t="s">
        <v>175</v>
      </c>
      <c r="G74" s="20">
        <v>42640.0</v>
      </c>
      <c r="H74" s="18">
        <v>9.0</v>
      </c>
      <c r="I74" s="21">
        <v>0.7</v>
      </c>
      <c r="J74" s="22">
        <v>12956.79</v>
      </c>
      <c r="K74" s="23">
        <v>9069.75</v>
      </c>
      <c r="L74" s="22">
        <v>2267.44</v>
      </c>
      <c r="M74" s="22">
        <v>2267.44</v>
      </c>
      <c r="N74" s="22">
        <v>2267.44</v>
      </c>
      <c r="O74" s="22">
        <v>2267.44</v>
      </c>
      <c r="P74" s="18" t="s">
        <v>16</v>
      </c>
      <c r="Q74" s="30"/>
    </row>
    <row r="75">
      <c r="A75" s="4" t="s">
        <v>170</v>
      </c>
      <c r="B75" s="18">
        <v>41.0</v>
      </c>
      <c r="C75" s="18">
        <v>105.0</v>
      </c>
      <c r="D75" s="19" t="s">
        <v>173</v>
      </c>
      <c r="E75" s="19" t="s">
        <v>174</v>
      </c>
      <c r="F75" s="19" t="s">
        <v>175</v>
      </c>
      <c r="G75" s="27">
        <v>42671.0</v>
      </c>
      <c r="H75" s="18">
        <v>10.0</v>
      </c>
      <c r="I75" s="21">
        <v>0.7</v>
      </c>
      <c r="J75" s="22">
        <v>12956.79</v>
      </c>
      <c r="K75" s="23">
        <v>9069.75</v>
      </c>
      <c r="L75" s="22">
        <v>2267.44</v>
      </c>
      <c r="M75" s="22">
        <v>2267.44</v>
      </c>
      <c r="N75" s="22">
        <v>2267.44</v>
      </c>
      <c r="O75" s="22">
        <v>2267.44</v>
      </c>
      <c r="P75" s="18" t="s">
        <v>16</v>
      </c>
      <c r="Q75" s="30"/>
    </row>
    <row r="76">
      <c r="A76" s="4" t="s">
        <v>170</v>
      </c>
      <c r="B76" s="18">
        <v>42.0</v>
      </c>
      <c r="C76" s="18">
        <v>106.0</v>
      </c>
      <c r="D76" s="19" t="s">
        <v>173</v>
      </c>
      <c r="E76" s="19" t="s">
        <v>174</v>
      </c>
      <c r="F76" s="19" t="s">
        <v>175</v>
      </c>
      <c r="G76" s="27">
        <v>42702.0</v>
      </c>
      <c r="H76" s="18">
        <v>11.0</v>
      </c>
      <c r="I76" s="21">
        <v>0.7</v>
      </c>
      <c r="J76" s="22">
        <v>12956.79</v>
      </c>
      <c r="K76" s="23">
        <v>9069.75</v>
      </c>
      <c r="L76" s="22">
        <v>2267.44</v>
      </c>
      <c r="M76" s="22">
        <v>2267.44</v>
      </c>
      <c r="N76" s="22">
        <v>2267.44</v>
      </c>
      <c r="O76" s="22">
        <v>2267.44</v>
      </c>
      <c r="P76" s="18" t="s">
        <v>16</v>
      </c>
      <c r="Q76" s="30"/>
    </row>
    <row r="77">
      <c r="A77" s="31" t="s">
        <v>170</v>
      </c>
      <c r="B77" s="32">
        <v>43.0</v>
      </c>
      <c r="C77" s="32">
        <v>107.0</v>
      </c>
      <c r="D77" s="33" t="s">
        <v>173</v>
      </c>
      <c r="E77" s="33" t="s">
        <v>174</v>
      </c>
      <c r="F77" s="33" t="s">
        <v>175</v>
      </c>
      <c r="G77" s="34">
        <v>42730.0</v>
      </c>
      <c r="H77" s="32">
        <v>12.0</v>
      </c>
      <c r="I77" s="35">
        <v>0.7</v>
      </c>
      <c r="J77" s="36">
        <v>12956.79</v>
      </c>
      <c r="K77" s="37">
        <v>9069.75</v>
      </c>
      <c r="L77" s="36">
        <v>2267.44</v>
      </c>
      <c r="M77" s="36">
        <v>2267.44</v>
      </c>
      <c r="N77" s="36">
        <v>2267.44</v>
      </c>
      <c r="O77" s="36">
        <v>2267.44</v>
      </c>
      <c r="P77" s="32" t="s">
        <v>16</v>
      </c>
      <c r="Q77" s="30"/>
    </row>
  </sheetData>
  <autoFilter ref="$A$1:$Z$77">
    <filterColumn colId="14">
      <filters>
        <filter val="1,140.00"/>
        <filter val="281.93"/>
        <filter val="2,267.44"/>
        <filter val="780.67"/>
        <filter val="780.68"/>
        <filter val="190"/>
        <filter val="290"/>
        <filter val="651.7"/>
        <filter val="713.93"/>
        <filter val="253.62"/>
        <filter val="141.67"/>
        <filter val="2,609.80"/>
        <filter val="930.25"/>
        <filter val="710.15"/>
        <filter val="1,775.38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2" max="2" width="6.38"/>
    <col customWidth="1" min="4" max="4" width="36.63"/>
    <col customWidth="1" min="5" max="5" width="15.88"/>
    <col customWidth="1" min="6" max="6" width="62.63"/>
    <col customWidth="1" min="7" max="8" width="10.13"/>
    <col customWidth="1" min="9" max="9" width="3.88"/>
  </cols>
  <sheetData>
    <row r="1">
      <c r="A1" s="38"/>
      <c r="B1" s="38"/>
      <c r="C1" s="39"/>
      <c r="D1" s="38"/>
      <c r="E1" s="38"/>
      <c r="F1" s="38"/>
      <c r="G1" s="40"/>
      <c r="H1" s="41"/>
      <c r="I1" s="42"/>
    </row>
    <row r="2">
      <c r="A2" s="43"/>
      <c r="B2" s="44" t="s">
        <v>176</v>
      </c>
      <c r="C2" s="39"/>
      <c r="D2" s="38"/>
      <c r="E2" s="38"/>
      <c r="F2" s="38"/>
      <c r="G2" s="40"/>
      <c r="H2" s="41"/>
      <c r="I2" s="42"/>
    </row>
    <row r="3">
      <c r="A3" s="45"/>
      <c r="B3" s="46" t="s">
        <v>85</v>
      </c>
      <c r="C3" s="47" t="s">
        <v>1</v>
      </c>
      <c r="D3" s="48" t="s">
        <v>177</v>
      </c>
      <c r="E3" s="46" t="s">
        <v>3</v>
      </c>
      <c r="F3" s="48" t="s">
        <v>178</v>
      </c>
      <c r="G3" s="49" t="s">
        <v>179</v>
      </c>
      <c r="H3" s="50" t="s">
        <v>180</v>
      </c>
      <c r="I3" s="51"/>
    </row>
    <row r="4">
      <c r="A4" s="52"/>
      <c r="B4" s="52" t="s">
        <v>19</v>
      </c>
      <c r="C4" s="53">
        <v>34840.0</v>
      </c>
      <c r="D4" s="52" t="s">
        <v>90</v>
      </c>
      <c r="E4" s="52" t="s">
        <v>91</v>
      </c>
      <c r="F4" s="52" t="s">
        <v>92</v>
      </c>
      <c r="G4" s="54">
        <v>42500.0</v>
      </c>
      <c r="H4" s="51">
        <v>651.7</v>
      </c>
      <c r="I4" s="51"/>
    </row>
    <row r="5">
      <c r="A5" s="52"/>
      <c r="B5" s="52" t="s">
        <v>19</v>
      </c>
      <c r="C5" s="53">
        <v>98.0</v>
      </c>
      <c r="D5" s="52" t="s">
        <v>14</v>
      </c>
      <c r="E5" s="52" t="s">
        <v>93</v>
      </c>
      <c r="F5" s="52" t="s">
        <v>94</v>
      </c>
      <c r="G5" s="54">
        <v>42628.0</v>
      </c>
      <c r="H5" s="51">
        <v>12042.0</v>
      </c>
      <c r="I5" s="51"/>
    </row>
    <row r="6">
      <c r="A6" s="52"/>
      <c r="B6" s="52" t="s">
        <v>19</v>
      </c>
      <c r="C6" s="53">
        <v>9354.0</v>
      </c>
      <c r="D6" s="52" t="s">
        <v>14</v>
      </c>
      <c r="E6" s="52" t="s">
        <v>95</v>
      </c>
      <c r="F6" s="52" t="s">
        <v>96</v>
      </c>
      <c r="G6" s="54">
        <v>42587.0</v>
      </c>
      <c r="H6" s="51">
        <v>1230.0</v>
      </c>
      <c r="I6" s="51"/>
    </row>
    <row r="7">
      <c r="A7" s="52"/>
      <c r="B7" s="52" t="s">
        <v>19</v>
      </c>
      <c r="C7" s="53">
        <v>81028.0</v>
      </c>
      <c r="D7" s="52" t="s">
        <v>14</v>
      </c>
      <c r="E7" s="52" t="s">
        <v>97</v>
      </c>
      <c r="F7" s="52" t="s">
        <v>98</v>
      </c>
      <c r="G7" s="54">
        <v>42565.0</v>
      </c>
      <c r="H7" s="51">
        <v>2401.0</v>
      </c>
      <c r="I7" s="51"/>
    </row>
    <row r="8">
      <c r="A8" s="52"/>
      <c r="B8" s="52" t="s">
        <v>19</v>
      </c>
      <c r="C8" s="53">
        <v>81357.0</v>
      </c>
      <c r="D8" s="52" t="s">
        <v>14</v>
      </c>
      <c r="E8" s="52" t="s">
        <v>97</v>
      </c>
      <c r="F8" s="52" t="s">
        <v>98</v>
      </c>
      <c r="G8" s="54">
        <v>42585.0</v>
      </c>
      <c r="H8" s="51">
        <v>2401.0</v>
      </c>
      <c r="I8" s="51"/>
    </row>
    <row r="9">
      <c r="A9" s="52"/>
      <c r="B9" s="52" t="s">
        <v>19</v>
      </c>
      <c r="C9" s="53">
        <v>80303.0</v>
      </c>
      <c r="D9" s="52" t="s">
        <v>14</v>
      </c>
      <c r="E9" s="52" t="s">
        <v>97</v>
      </c>
      <c r="F9" s="52" t="s">
        <v>99</v>
      </c>
      <c r="G9" s="54">
        <v>42541.0</v>
      </c>
      <c r="H9" s="51">
        <v>524.0</v>
      </c>
      <c r="I9" s="51"/>
    </row>
    <row r="10">
      <c r="A10" s="52"/>
      <c r="B10" s="52" t="s">
        <v>19</v>
      </c>
      <c r="C10" s="53">
        <v>423.0</v>
      </c>
      <c r="D10" s="52" t="s">
        <v>14</v>
      </c>
      <c r="E10" s="52" t="s">
        <v>100</v>
      </c>
      <c r="F10" s="52" t="s">
        <v>101</v>
      </c>
      <c r="G10" s="54">
        <v>42608.0</v>
      </c>
      <c r="H10" s="51">
        <v>24000.0</v>
      </c>
      <c r="I10" s="51"/>
    </row>
    <row r="11">
      <c r="A11" s="52"/>
      <c r="B11" s="52" t="s">
        <v>19</v>
      </c>
      <c r="C11" s="53">
        <v>5542.0</v>
      </c>
      <c r="D11" s="52" t="s">
        <v>102</v>
      </c>
      <c r="E11" s="52" t="s">
        <v>95</v>
      </c>
      <c r="F11" s="52" t="s">
        <v>103</v>
      </c>
      <c r="G11" s="54">
        <v>42506.0</v>
      </c>
      <c r="H11" s="51">
        <v>575.08</v>
      </c>
      <c r="I11" s="51"/>
    </row>
    <row r="12">
      <c r="A12" s="52"/>
      <c r="B12" s="52" t="s">
        <v>19</v>
      </c>
      <c r="C12" s="53">
        <v>27824.0</v>
      </c>
      <c r="D12" s="52" t="s">
        <v>104</v>
      </c>
      <c r="E12" s="52" t="s">
        <v>105</v>
      </c>
      <c r="F12" s="52" t="s">
        <v>106</v>
      </c>
      <c r="G12" s="54">
        <v>42647.0</v>
      </c>
      <c r="H12" s="51">
        <v>950.0</v>
      </c>
      <c r="I12" s="51"/>
    </row>
    <row r="13">
      <c r="A13" s="52"/>
      <c r="B13" s="52" t="s">
        <v>75</v>
      </c>
      <c r="C13" s="53">
        <v>2358.0</v>
      </c>
      <c r="D13" s="52" t="s">
        <v>49</v>
      </c>
      <c r="E13" s="52" t="s">
        <v>107</v>
      </c>
      <c r="F13" s="52" t="s">
        <v>108</v>
      </c>
      <c r="G13" s="54">
        <v>42398.0</v>
      </c>
      <c r="H13" s="51">
        <v>574.0</v>
      </c>
      <c r="I13" s="51"/>
    </row>
    <row r="14">
      <c r="A14" s="52"/>
      <c r="B14" s="52" t="s">
        <v>75</v>
      </c>
      <c r="C14" s="53">
        <v>2389.0</v>
      </c>
      <c r="D14" s="52" t="s">
        <v>49</v>
      </c>
      <c r="E14" s="52" t="s">
        <v>107</v>
      </c>
      <c r="F14" s="52" t="s">
        <v>108</v>
      </c>
      <c r="G14" s="54">
        <v>42416.0</v>
      </c>
      <c r="H14" s="51">
        <v>210.0</v>
      </c>
      <c r="I14" s="51"/>
    </row>
    <row r="15">
      <c r="A15" s="52"/>
      <c r="B15" s="52" t="s">
        <v>19</v>
      </c>
      <c r="C15" s="53">
        <v>7567.0</v>
      </c>
      <c r="D15" s="52" t="s">
        <v>49</v>
      </c>
      <c r="E15" s="52" t="s">
        <v>95</v>
      </c>
      <c r="F15" s="52" t="s">
        <v>109</v>
      </c>
      <c r="G15" s="54">
        <v>42548.0</v>
      </c>
      <c r="H15" s="51">
        <v>450.0</v>
      </c>
      <c r="I15" s="51"/>
    </row>
    <row r="16">
      <c r="A16" s="52"/>
      <c r="B16" s="52" t="s">
        <v>19</v>
      </c>
      <c r="C16" s="53">
        <v>84232.0</v>
      </c>
      <c r="D16" s="52" t="s">
        <v>110</v>
      </c>
      <c r="E16" s="52" t="s">
        <v>97</v>
      </c>
      <c r="F16" s="52" t="s">
        <v>98</v>
      </c>
      <c r="G16" s="54">
        <v>42681.0</v>
      </c>
      <c r="H16" s="51">
        <v>478.2</v>
      </c>
      <c r="I16" s="51"/>
    </row>
    <row r="17">
      <c r="A17" s="52"/>
      <c r="B17" s="52" t="s">
        <v>19</v>
      </c>
      <c r="C17" s="53">
        <v>8891.0</v>
      </c>
      <c r="D17" s="52" t="s">
        <v>117</v>
      </c>
      <c r="E17" s="52" t="s">
        <v>95</v>
      </c>
      <c r="F17" s="52" t="s">
        <v>118</v>
      </c>
      <c r="G17" s="54">
        <v>42578.0</v>
      </c>
      <c r="H17" s="51">
        <v>170.17</v>
      </c>
      <c r="I17" s="51"/>
    </row>
    <row r="18">
      <c r="A18" s="52"/>
      <c r="B18" s="52" t="s">
        <v>19</v>
      </c>
      <c r="C18" s="53">
        <v>28066.0</v>
      </c>
      <c r="D18" s="52" t="s">
        <v>121</v>
      </c>
      <c r="E18" s="52" t="s">
        <v>105</v>
      </c>
      <c r="F18" s="52" t="s">
        <v>122</v>
      </c>
      <c r="G18" s="54">
        <v>42677.0</v>
      </c>
      <c r="H18" s="51">
        <v>141.67</v>
      </c>
      <c r="I18" s="51"/>
    </row>
    <row r="19">
      <c r="A19" s="52"/>
      <c r="B19" s="52" t="s">
        <v>19</v>
      </c>
      <c r="C19" s="53">
        <v>15490.0</v>
      </c>
      <c r="D19" s="52" t="s">
        <v>129</v>
      </c>
      <c r="E19" s="52" t="s">
        <v>130</v>
      </c>
      <c r="F19" s="52" t="s">
        <v>131</v>
      </c>
      <c r="G19" s="54">
        <v>42495.0</v>
      </c>
      <c r="H19" s="51">
        <v>190.0</v>
      </c>
      <c r="I19" s="51"/>
    </row>
    <row r="20">
      <c r="A20" s="52"/>
      <c r="B20" s="52" t="s">
        <v>170</v>
      </c>
      <c r="C20" s="53">
        <v>2.01600000000012E14</v>
      </c>
      <c r="D20" s="52" t="s">
        <v>171</v>
      </c>
      <c r="E20" s="52" t="s">
        <v>172</v>
      </c>
      <c r="F20" s="52" t="s">
        <v>116</v>
      </c>
      <c r="G20" s="54">
        <v>42397.0</v>
      </c>
      <c r="H20" s="51">
        <v>930.25</v>
      </c>
      <c r="I20" s="51"/>
    </row>
    <row r="21">
      <c r="A21" s="52"/>
      <c r="B21" s="52" t="s">
        <v>170</v>
      </c>
      <c r="C21" s="53">
        <v>2.01600000000013E14</v>
      </c>
      <c r="D21" s="52" t="s">
        <v>171</v>
      </c>
      <c r="E21" s="52" t="s">
        <v>172</v>
      </c>
      <c r="F21" s="52" t="s">
        <v>116</v>
      </c>
      <c r="G21" s="54">
        <v>42425.0</v>
      </c>
      <c r="H21" s="51">
        <v>780.68</v>
      </c>
      <c r="I21" s="51"/>
    </row>
    <row r="22">
      <c r="A22" s="52"/>
      <c r="B22" s="52" t="s">
        <v>170</v>
      </c>
      <c r="C22" s="53">
        <v>2.01600000000016E14</v>
      </c>
      <c r="D22" s="52" t="s">
        <v>171</v>
      </c>
      <c r="E22" s="52" t="s">
        <v>172</v>
      </c>
      <c r="F22" s="52" t="s">
        <v>116</v>
      </c>
      <c r="G22" s="54">
        <v>42458.0</v>
      </c>
      <c r="H22" s="51">
        <v>780.67</v>
      </c>
      <c r="I22" s="51"/>
    </row>
    <row r="23">
      <c r="A23" s="52"/>
      <c r="B23" s="52" t="s">
        <v>170</v>
      </c>
      <c r="C23" s="53">
        <v>2.01600000000019E14</v>
      </c>
      <c r="D23" s="52" t="s">
        <v>171</v>
      </c>
      <c r="E23" s="52" t="s">
        <v>172</v>
      </c>
      <c r="F23" s="52" t="s">
        <v>116</v>
      </c>
      <c r="G23" s="54">
        <v>42488.0</v>
      </c>
      <c r="H23" s="51">
        <v>780.67</v>
      </c>
      <c r="I23" s="51"/>
    </row>
    <row r="24">
      <c r="A24" s="52"/>
      <c r="B24" s="52" t="s">
        <v>170</v>
      </c>
      <c r="C24" s="53">
        <v>2.01600000000023E14</v>
      </c>
      <c r="D24" s="52" t="s">
        <v>171</v>
      </c>
      <c r="E24" s="52" t="s">
        <v>172</v>
      </c>
      <c r="F24" s="52" t="s">
        <v>116</v>
      </c>
      <c r="G24" s="54">
        <v>42517.0</v>
      </c>
      <c r="H24" s="51">
        <v>713.93</v>
      </c>
      <c r="I24" s="51"/>
    </row>
    <row r="25">
      <c r="A25" s="52"/>
      <c r="B25" s="52" t="s">
        <v>170</v>
      </c>
      <c r="C25" s="53">
        <v>2.01600000000024E14</v>
      </c>
      <c r="D25" s="52" t="s">
        <v>171</v>
      </c>
      <c r="E25" s="52" t="s">
        <v>172</v>
      </c>
      <c r="F25" s="52" t="s">
        <v>116</v>
      </c>
      <c r="G25" s="54">
        <v>42550.0</v>
      </c>
      <c r="H25" s="51">
        <v>713.93</v>
      </c>
      <c r="I25" s="51"/>
    </row>
    <row r="26">
      <c r="A26" s="52"/>
      <c r="B26" s="52" t="s">
        <v>170</v>
      </c>
      <c r="C26" s="53">
        <v>2.01600000000028E14</v>
      </c>
      <c r="D26" s="52" t="s">
        <v>171</v>
      </c>
      <c r="E26" s="52" t="s">
        <v>172</v>
      </c>
      <c r="F26" s="52" t="s">
        <v>116</v>
      </c>
      <c r="G26" s="54">
        <v>42579.0</v>
      </c>
      <c r="H26" s="51">
        <v>713.93</v>
      </c>
      <c r="I26" s="51"/>
    </row>
    <row r="27">
      <c r="A27" s="52"/>
      <c r="B27" s="52" t="s">
        <v>170</v>
      </c>
      <c r="C27" s="53">
        <v>2.01600000000029E14</v>
      </c>
      <c r="D27" s="52" t="s">
        <v>171</v>
      </c>
      <c r="E27" s="52" t="s">
        <v>172</v>
      </c>
      <c r="F27" s="52" t="s">
        <v>116</v>
      </c>
      <c r="G27" s="54">
        <v>42611.0</v>
      </c>
      <c r="H27" s="51">
        <v>713.93</v>
      </c>
      <c r="I27" s="51"/>
    </row>
    <row r="28">
      <c r="A28" s="52"/>
      <c r="B28" s="52" t="s">
        <v>170</v>
      </c>
      <c r="C28" s="53">
        <v>2.01600000000032E14</v>
      </c>
      <c r="D28" s="52" t="s">
        <v>171</v>
      </c>
      <c r="E28" s="52" t="s">
        <v>172</v>
      </c>
      <c r="F28" s="52" t="s">
        <v>116</v>
      </c>
      <c r="G28" s="54">
        <v>42642.0</v>
      </c>
      <c r="H28" s="51">
        <v>713.93</v>
      </c>
      <c r="I28" s="51"/>
    </row>
    <row r="29">
      <c r="A29" s="52"/>
      <c r="B29" s="52" t="s">
        <v>170</v>
      </c>
      <c r="C29" s="53">
        <v>2.01600000000035E14</v>
      </c>
      <c r="D29" s="52" t="s">
        <v>171</v>
      </c>
      <c r="E29" s="52" t="s">
        <v>172</v>
      </c>
      <c r="F29" s="52" t="s">
        <v>116</v>
      </c>
      <c r="G29" s="54">
        <v>42674.0</v>
      </c>
      <c r="H29" s="51">
        <v>713.93</v>
      </c>
      <c r="I29" s="51"/>
    </row>
    <row r="30">
      <c r="A30" s="52"/>
      <c r="B30" s="52" t="s">
        <v>170</v>
      </c>
      <c r="C30" s="53">
        <v>2.01600000000038E14</v>
      </c>
      <c r="D30" s="52" t="s">
        <v>171</v>
      </c>
      <c r="E30" s="52" t="s">
        <v>172</v>
      </c>
      <c r="F30" s="52" t="s">
        <v>116</v>
      </c>
      <c r="G30" s="54">
        <v>42703.0</v>
      </c>
      <c r="H30" s="51">
        <v>713.93</v>
      </c>
      <c r="I30" s="51"/>
    </row>
    <row r="31">
      <c r="A31" s="52"/>
      <c r="B31" s="52" t="s">
        <v>170</v>
      </c>
      <c r="C31" s="53">
        <v>2.01600000000042E14</v>
      </c>
      <c r="D31" s="52" t="s">
        <v>171</v>
      </c>
      <c r="E31" s="52" t="s">
        <v>172</v>
      </c>
      <c r="F31" s="52" t="s">
        <v>116</v>
      </c>
      <c r="G31" s="54">
        <v>42726.0</v>
      </c>
      <c r="H31" s="51">
        <v>713.93</v>
      </c>
      <c r="I31" s="51"/>
    </row>
    <row r="32">
      <c r="A32" s="52"/>
      <c r="B32" s="52" t="s">
        <v>170</v>
      </c>
      <c r="C32" s="53">
        <v>32.0</v>
      </c>
      <c r="D32" s="52" t="s">
        <v>173</v>
      </c>
      <c r="E32" s="52" t="s">
        <v>174</v>
      </c>
      <c r="F32" s="52" t="s">
        <v>175</v>
      </c>
      <c r="G32" s="54">
        <v>42396.0</v>
      </c>
      <c r="H32" s="51">
        <v>2609.8</v>
      </c>
      <c r="I32" s="51"/>
    </row>
    <row r="33">
      <c r="A33" s="52"/>
      <c r="B33" s="52" t="s">
        <v>170</v>
      </c>
      <c r="C33" s="53">
        <v>33.0</v>
      </c>
      <c r="D33" s="52" t="s">
        <v>173</v>
      </c>
      <c r="E33" s="52" t="s">
        <v>174</v>
      </c>
      <c r="F33" s="52" t="s">
        <v>175</v>
      </c>
      <c r="G33" s="54">
        <v>42424.0</v>
      </c>
      <c r="H33" s="51">
        <v>2609.8</v>
      </c>
      <c r="I33" s="51"/>
    </row>
    <row r="34">
      <c r="A34" s="52"/>
      <c r="B34" s="52" t="s">
        <v>170</v>
      </c>
      <c r="C34" s="53">
        <v>34.0</v>
      </c>
      <c r="D34" s="52" t="s">
        <v>173</v>
      </c>
      <c r="E34" s="52" t="s">
        <v>174</v>
      </c>
      <c r="F34" s="52" t="s">
        <v>175</v>
      </c>
      <c r="G34" s="54">
        <v>42452.0</v>
      </c>
      <c r="H34" s="51">
        <v>2267.44</v>
      </c>
      <c r="I34" s="51"/>
    </row>
    <row r="35">
      <c r="A35" s="52"/>
      <c r="B35" s="52" t="s">
        <v>170</v>
      </c>
      <c r="C35" s="53">
        <v>35.0</v>
      </c>
      <c r="D35" s="52" t="s">
        <v>173</v>
      </c>
      <c r="E35" s="52" t="s">
        <v>174</v>
      </c>
      <c r="F35" s="52" t="s">
        <v>175</v>
      </c>
      <c r="G35" s="54">
        <v>42485.0</v>
      </c>
      <c r="H35" s="51">
        <v>2267.44</v>
      </c>
      <c r="I35" s="51"/>
    </row>
    <row r="36">
      <c r="A36" s="52"/>
      <c r="B36" s="52" t="s">
        <v>170</v>
      </c>
      <c r="C36" s="53">
        <v>36.0</v>
      </c>
      <c r="D36" s="52" t="s">
        <v>173</v>
      </c>
      <c r="E36" s="52" t="s">
        <v>174</v>
      </c>
      <c r="F36" s="52" t="s">
        <v>175</v>
      </c>
      <c r="G36" s="54">
        <v>42517.0</v>
      </c>
      <c r="H36" s="51">
        <v>2267.44</v>
      </c>
      <c r="I36" s="51"/>
    </row>
    <row r="37">
      <c r="A37" s="52"/>
      <c r="B37" s="52" t="s">
        <v>170</v>
      </c>
      <c r="C37" s="53">
        <v>37.0</v>
      </c>
      <c r="D37" s="52" t="s">
        <v>173</v>
      </c>
      <c r="E37" s="52" t="s">
        <v>174</v>
      </c>
      <c r="F37" s="52" t="s">
        <v>175</v>
      </c>
      <c r="G37" s="54">
        <v>42548.0</v>
      </c>
      <c r="H37" s="51">
        <v>2267.44</v>
      </c>
      <c r="I37" s="51"/>
    </row>
    <row r="38">
      <c r="A38" s="52"/>
      <c r="B38" s="52" t="s">
        <v>170</v>
      </c>
      <c r="C38" s="53">
        <v>38.0</v>
      </c>
      <c r="D38" s="52" t="s">
        <v>173</v>
      </c>
      <c r="E38" s="52" t="s">
        <v>174</v>
      </c>
      <c r="F38" s="52" t="s">
        <v>175</v>
      </c>
      <c r="G38" s="54">
        <v>42576.0</v>
      </c>
      <c r="H38" s="51">
        <v>2267.44</v>
      </c>
      <c r="I38" s="51"/>
    </row>
    <row r="39">
      <c r="A39" s="52"/>
      <c r="B39" s="52" t="s">
        <v>170</v>
      </c>
      <c r="C39" s="53">
        <v>39.0</v>
      </c>
      <c r="D39" s="52" t="s">
        <v>173</v>
      </c>
      <c r="E39" s="52" t="s">
        <v>174</v>
      </c>
      <c r="F39" s="52" t="s">
        <v>175</v>
      </c>
      <c r="G39" s="54">
        <v>42607.0</v>
      </c>
      <c r="H39" s="51">
        <v>2267.44</v>
      </c>
      <c r="I39" s="51"/>
    </row>
    <row r="40">
      <c r="A40" s="52"/>
      <c r="B40" s="52" t="s">
        <v>170</v>
      </c>
      <c r="C40" s="53">
        <v>40.0</v>
      </c>
      <c r="D40" s="52" t="s">
        <v>173</v>
      </c>
      <c r="E40" s="52" t="s">
        <v>174</v>
      </c>
      <c r="F40" s="52" t="s">
        <v>175</v>
      </c>
      <c r="G40" s="54">
        <v>42640.0</v>
      </c>
      <c r="H40" s="51">
        <v>2267.44</v>
      </c>
      <c r="I40" s="51"/>
    </row>
    <row r="41">
      <c r="A41" s="52"/>
      <c r="B41" s="52" t="s">
        <v>170</v>
      </c>
      <c r="C41" s="53">
        <v>41.0</v>
      </c>
      <c r="D41" s="52" t="s">
        <v>173</v>
      </c>
      <c r="E41" s="52" t="s">
        <v>174</v>
      </c>
      <c r="F41" s="52" t="s">
        <v>175</v>
      </c>
      <c r="G41" s="54">
        <v>42671.0</v>
      </c>
      <c r="H41" s="51">
        <v>2267.44</v>
      </c>
      <c r="I41" s="51"/>
    </row>
    <row r="42">
      <c r="A42" s="52"/>
      <c r="B42" s="52" t="s">
        <v>170</v>
      </c>
      <c r="C42" s="53">
        <v>42.0</v>
      </c>
      <c r="D42" s="52" t="s">
        <v>173</v>
      </c>
      <c r="E42" s="52" t="s">
        <v>174</v>
      </c>
      <c r="F42" s="52" t="s">
        <v>175</v>
      </c>
      <c r="G42" s="54">
        <v>42702.0</v>
      </c>
      <c r="H42" s="51">
        <v>2267.44</v>
      </c>
      <c r="I42" s="51"/>
    </row>
    <row r="43">
      <c r="A43" s="52"/>
      <c r="B43" s="55" t="s">
        <v>170</v>
      </c>
      <c r="C43" s="56">
        <v>43.0</v>
      </c>
      <c r="D43" s="55" t="s">
        <v>173</v>
      </c>
      <c r="E43" s="55" t="s">
        <v>174</v>
      </c>
      <c r="F43" s="55" t="s">
        <v>175</v>
      </c>
      <c r="G43" s="57">
        <v>42730.0</v>
      </c>
      <c r="H43" s="58">
        <v>2267.44</v>
      </c>
      <c r="I43" s="51"/>
    </row>
    <row r="44">
      <c r="A44" s="38"/>
      <c r="B44" s="38"/>
      <c r="C44" s="39"/>
      <c r="D44" s="38"/>
      <c r="E44" s="38"/>
      <c r="F44" s="38"/>
      <c r="G44" s="40"/>
      <c r="H44" s="59">
        <f>sum(H4:H43)</f>
        <v>83866.53</v>
      </c>
      <c r="I44" s="42"/>
    </row>
    <row r="45">
      <c r="A45" s="38"/>
      <c r="B45" s="38"/>
      <c r="C45" s="39"/>
      <c r="D45" s="38"/>
      <c r="E45" s="38"/>
      <c r="F45" s="38"/>
      <c r="G45" s="40"/>
      <c r="H45" s="41"/>
      <c r="I45" s="42"/>
    </row>
    <row r="46">
      <c r="A46" s="38"/>
      <c r="B46" s="44" t="s">
        <v>181</v>
      </c>
      <c r="C46" s="39"/>
      <c r="D46" s="38"/>
      <c r="E46" s="38"/>
      <c r="F46" s="38"/>
      <c r="G46" s="40"/>
      <c r="H46" s="41"/>
      <c r="I46" s="42"/>
    </row>
    <row r="47">
      <c r="A47" s="38"/>
      <c r="B47" s="46" t="s">
        <v>85</v>
      </c>
      <c r="C47" s="47" t="s">
        <v>1</v>
      </c>
      <c r="D47" s="48" t="s">
        <v>177</v>
      </c>
      <c r="E47" s="46" t="s">
        <v>3</v>
      </c>
      <c r="F47" s="48" t="s">
        <v>178</v>
      </c>
      <c r="G47" s="49" t="s">
        <v>179</v>
      </c>
      <c r="H47" s="50" t="s">
        <v>180</v>
      </c>
      <c r="I47" s="42"/>
    </row>
    <row r="48">
      <c r="A48" s="38"/>
      <c r="B48" s="52" t="s">
        <v>19</v>
      </c>
      <c r="C48" s="53">
        <v>5542.0</v>
      </c>
      <c r="D48" s="52" t="s">
        <v>102</v>
      </c>
      <c r="E48" s="52" t="s">
        <v>95</v>
      </c>
      <c r="F48" s="52" t="s">
        <v>103</v>
      </c>
      <c r="G48" s="54">
        <v>42506.0</v>
      </c>
      <c r="H48" s="51">
        <v>575.08</v>
      </c>
      <c r="I48" s="42"/>
    </row>
    <row r="49">
      <c r="A49" s="38"/>
      <c r="B49" s="52" t="s">
        <v>19</v>
      </c>
      <c r="C49" s="53">
        <v>84232.0</v>
      </c>
      <c r="D49" s="52" t="s">
        <v>110</v>
      </c>
      <c r="E49" s="52" t="s">
        <v>97</v>
      </c>
      <c r="F49" s="52" t="s">
        <v>98</v>
      </c>
      <c r="G49" s="54">
        <v>42681.0</v>
      </c>
      <c r="H49" s="51">
        <v>478.2</v>
      </c>
      <c r="I49" s="42"/>
    </row>
    <row r="50">
      <c r="A50" s="38"/>
      <c r="B50" s="52" t="s">
        <v>19</v>
      </c>
      <c r="C50" s="53">
        <v>15516.0</v>
      </c>
      <c r="D50" s="52" t="s">
        <v>111</v>
      </c>
      <c r="E50" s="52" t="s">
        <v>95</v>
      </c>
      <c r="F50" s="52" t="s">
        <v>112</v>
      </c>
      <c r="G50" s="54">
        <v>42733.0</v>
      </c>
      <c r="H50" s="51">
        <v>1181.5</v>
      </c>
      <c r="I50" s="42"/>
    </row>
    <row r="51">
      <c r="A51" s="38"/>
      <c r="B51" s="52" t="s">
        <v>19</v>
      </c>
      <c r="C51" s="53">
        <v>27583.0</v>
      </c>
      <c r="D51" s="52" t="s">
        <v>113</v>
      </c>
      <c r="E51" s="52" t="s">
        <v>105</v>
      </c>
      <c r="F51" s="52" t="s">
        <v>114</v>
      </c>
      <c r="G51" s="54">
        <v>42615.0</v>
      </c>
      <c r="H51" s="51">
        <v>244.0</v>
      </c>
      <c r="I51" s="42"/>
    </row>
    <row r="52">
      <c r="A52" s="38"/>
      <c r="B52" s="52" t="s">
        <v>19</v>
      </c>
      <c r="C52" s="53">
        <v>13354.0</v>
      </c>
      <c r="D52" s="52" t="s">
        <v>115</v>
      </c>
      <c r="E52" s="52" t="s">
        <v>95</v>
      </c>
      <c r="F52" s="52" t="s">
        <v>116</v>
      </c>
      <c r="G52" s="54">
        <v>42683.0</v>
      </c>
      <c r="H52" s="51">
        <v>672.13</v>
      </c>
      <c r="I52" s="42"/>
    </row>
    <row r="53">
      <c r="A53" s="38"/>
      <c r="B53" s="52" t="s">
        <v>19</v>
      </c>
      <c r="C53" s="53">
        <v>8891.0</v>
      </c>
      <c r="D53" s="52" t="s">
        <v>117</v>
      </c>
      <c r="E53" s="52" t="s">
        <v>95</v>
      </c>
      <c r="F53" s="52" t="s">
        <v>118</v>
      </c>
      <c r="G53" s="54">
        <v>42578.0</v>
      </c>
      <c r="H53" s="51">
        <v>340.34</v>
      </c>
      <c r="I53" s="42"/>
    </row>
    <row r="54">
      <c r="A54" s="38"/>
      <c r="B54" s="52" t="s">
        <v>19</v>
      </c>
      <c r="C54" s="53">
        <v>5003.0</v>
      </c>
      <c r="D54" s="52" t="s">
        <v>119</v>
      </c>
      <c r="E54" s="52" t="s">
        <v>95</v>
      </c>
      <c r="F54" s="52" t="s">
        <v>120</v>
      </c>
      <c r="G54" s="54">
        <v>42496.0</v>
      </c>
      <c r="H54" s="51">
        <v>1150.17</v>
      </c>
      <c r="I54" s="42"/>
    </row>
    <row r="55">
      <c r="A55" s="38"/>
      <c r="B55" s="52" t="s">
        <v>19</v>
      </c>
      <c r="C55" s="53">
        <v>28066.0</v>
      </c>
      <c r="D55" s="52" t="s">
        <v>121</v>
      </c>
      <c r="E55" s="52" t="s">
        <v>105</v>
      </c>
      <c r="F55" s="52" t="s">
        <v>122</v>
      </c>
      <c r="G55" s="54">
        <v>42677.0</v>
      </c>
      <c r="H55" s="51">
        <v>141.67</v>
      </c>
      <c r="I55" s="42"/>
    </row>
    <row r="56">
      <c r="A56" s="38"/>
      <c r="B56" s="52" t="s">
        <v>19</v>
      </c>
      <c r="C56" s="53">
        <v>16158.0</v>
      </c>
      <c r="D56" s="52" t="s">
        <v>135</v>
      </c>
      <c r="E56" s="52" t="s">
        <v>130</v>
      </c>
      <c r="F56" s="52" t="s">
        <v>136</v>
      </c>
      <c r="G56" s="54">
        <v>42593.0</v>
      </c>
      <c r="H56" s="51">
        <v>190.0</v>
      </c>
      <c r="I56" s="42"/>
    </row>
    <row r="57">
      <c r="A57" s="38"/>
      <c r="B57" s="52" t="s">
        <v>19</v>
      </c>
      <c r="C57" s="53">
        <v>84627.0</v>
      </c>
      <c r="D57" s="52" t="s">
        <v>140</v>
      </c>
      <c r="E57" s="52" t="s">
        <v>97</v>
      </c>
      <c r="F57" s="52" t="s">
        <v>141</v>
      </c>
      <c r="G57" s="54">
        <v>42697.0</v>
      </c>
      <c r="H57" s="51">
        <v>1886.5</v>
      </c>
      <c r="I57" s="42"/>
    </row>
    <row r="58">
      <c r="A58" s="38"/>
      <c r="B58" s="52" t="s">
        <v>170</v>
      </c>
      <c r="C58" s="60" t="s">
        <v>182</v>
      </c>
      <c r="D58" s="52" t="s">
        <v>171</v>
      </c>
      <c r="E58" s="52" t="s">
        <v>172</v>
      </c>
      <c r="F58" s="61" t="s">
        <v>183</v>
      </c>
      <c r="G58" s="62" t="s">
        <v>184</v>
      </c>
      <c r="H58" s="51">
        <v>8983.71</v>
      </c>
      <c r="I58" s="42"/>
    </row>
    <row r="59">
      <c r="A59" s="38"/>
      <c r="B59" s="52" t="s">
        <v>170</v>
      </c>
      <c r="C59" s="60" t="s">
        <v>182</v>
      </c>
      <c r="D59" s="52" t="s">
        <v>173</v>
      </c>
      <c r="E59" s="52" t="s">
        <v>174</v>
      </c>
      <c r="F59" s="52" t="s">
        <v>185</v>
      </c>
      <c r="G59" s="62" t="s">
        <v>184</v>
      </c>
      <c r="H59" s="51">
        <v>27894.0</v>
      </c>
      <c r="I59" s="42"/>
    </row>
    <row r="60">
      <c r="A60" s="38"/>
      <c r="B60" s="63"/>
      <c r="C60" s="64"/>
      <c r="D60" s="63"/>
      <c r="E60" s="63"/>
      <c r="F60" s="63"/>
      <c r="G60" s="65"/>
      <c r="H60" s="66">
        <f>sum(H48:H59)</f>
        <v>43737.3</v>
      </c>
      <c r="I60" s="42"/>
    </row>
    <row r="61">
      <c r="A61" s="38"/>
      <c r="B61" s="38"/>
      <c r="C61" s="39"/>
      <c r="D61" s="38"/>
      <c r="E61" s="38"/>
      <c r="F61" s="38"/>
      <c r="G61" s="40"/>
      <c r="H61" s="41"/>
      <c r="I61" s="42"/>
    </row>
    <row r="62">
      <c r="A62" s="38"/>
      <c r="B62" s="44" t="s">
        <v>186</v>
      </c>
      <c r="C62" s="39"/>
      <c r="D62" s="38"/>
      <c r="E62" s="38"/>
      <c r="F62" s="38"/>
      <c r="G62" s="40"/>
      <c r="H62" s="41"/>
      <c r="I62" s="42"/>
    </row>
    <row r="63">
      <c r="A63" s="38"/>
      <c r="B63" s="46" t="s">
        <v>85</v>
      </c>
      <c r="C63" s="47" t="s">
        <v>1</v>
      </c>
      <c r="D63" s="48" t="s">
        <v>177</v>
      </c>
      <c r="E63" s="46" t="s">
        <v>3</v>
      </c>
      <c r="F63" s="48" t="s">
        <v>178</v>
      </c>
      <c r="G63" s="49" t="s">
        <v>179</v>
      </c>
      <c r="H63" s="50" t="s">
        <v>180</v>
      </c>
      <c r="I63" s="42"/>
    </row>
    <row r="64">
      <c r="A64" s="38"/>
      <c r="B64" s="38" t="s">
        <v>19</v>
      </c>
      <c r="C64" s="39">
        <v>15516.0</v>
      </c>
      <c r="D64" s="38" t="s">
        <v>111</v>
      </c>
      <c r="E64" s="38" t="s">
        <v>95</v>
      </c>
      <c r="F64" s="38" t="s">
        <v>112</v>
      </c>
      <c r="G64" s="40">
        <v>42733.0</v>
      </c>
      <c r="H64" s="41">
        <v>590.75</v>
      </c>
      <c r="I64" s="42"/>
    </row>
    <row r="65">
      <c r="A65" s="38"/>
      <c r="B65" s="38" t="s">
        <v>19</v>
      </c>
      <c r="C65" s="39">
        <v>27583.0</v>
      </c>
      <c r="D65" s="38" t="s">
        <v>113</v>
      </c>
      <c r="E65" s="38" t="s">
        <v>105</v>
      </c>
      <c r="F65" s="38" t="s">
        <v>114</v>
      </c>
      <c r="G65" s="40">
        <v>42615.0</v>
      </c>
      <c r="H65" s="41">
        <v>61.0</v>
      </c>
      <c r="I65" s="42"/>
    </row>
    <row r="66">
      <c r="A66" s="38"/>
      <c r="B66" s="38" t="s">
        <v>19</v>
      </c>
      <c r="C66" s="39">
        <v>13354.0</v>
      </c>
      <c r="D66" s="38" t="s">
        <v>115</v>
      </c>
      <c r="E66" s="38" t="s">
        <v>95</v>
      </c>
      <c r="F66" s="38" t="s">
        <v>116</v>
      </c>
      <c r="G66" s="40">
        <v>42683.0</v>
      </c>
      <c r="H66" s="41">
        <v>672.13</v>
      </c>
      <c r="I66" s="42"/>
    </row>
    <row r="67">
      <c r="A67" s="38"/>
      <c r="B67" s="38" t="s">
        <v>19</v>
      </c>
      <c r="C67" s="39">
        <v>8891.0</v>
      </c>
      <c r="D67" s="38" t="s">
        <v>117</v>
      </c>
      <c r="E67" s="38" t="s">
        <v>95</v>
      </c>
      <c r="F67" s="38" t="s">
        <v>118</v>
      </c>
      <c r="G67" s="40">
        <v>42578.0</v>
      </c>
      <c r="H67" s="41">
        <v>3743.78</v>
      </c>
      <c r="I67" s="42"/>
    </row>
    <row r="68">
      <c r="A68" s="38"/>
      <c r="B68" s="38" t="s">
        <v>19</v>
      </c>
      <c r="C68" s="39">
        <v>17048.0</v>
      </c>
      <c r="D68" s="38" t="s">
        <v>133</v>
      </c>
      <c r="E68" s="38" t="s">
        <v>130</v>
      </c>
      <c r="F68" s="38" t="s">
        <v>134</v>
      </c>
      <c r="G68" s="40">
        <v>42702.0</v>
      </c>
      <c r="H68" s="41">
        <v>570.0</v>
      </c>
      <c r="I68" s="42"/>
    </row>
    <row r="69">
      <c r="A69" s="38"/>
      <c r="B69" s="38" t="s">
        <v>19</v>
      </c>
      <c r="C69" s="39">
        <v>16158.0</v>
      </c>
      <c r="D69" s="38" t="s">
        <v>135</v>
      </c>
      <c r="E69" s="38" t="s">
        <v>130</v>
      </c>
      <c r="F69" s="38" t="s">
        <v>136</v>
      </c>
      <c r="G69" s="40">
        <v>42593.0</v>
      </c>
      <c r="H69" s="41">
        <v>190.0</v>
      </c>
      <c r="I69" s="42"/>
    </row>
    <row r="70">
      <c r="A70" s="38"/>
      <c r="B70" s="38" t="s">
        <v>19</v>
      </c>
      <c r="C70" s="39">
        <v>38029.0</v>
      </c>
      <c r="D70" s="38" t="s">
        <v>137</v>
      </c>
      <c r="E70" s="38" t="s">
        <v>91</v>
      </c>
      <c r="F70" s="38" t="s">
        <v>138</v>
      </c>
      <c r="G70" s="40" t="s">
        <v>139</v>
      </c>
      <c r="H70" s="41">
        <v>651.7</v>
      </c>
      <c r="I70" s="42"/>
    </row>
    <row r="71">
      <c r="A71" s="38"/>
      <c r="B71" s="38" t="s">
        <v>19</v>
      </c>
      <c r="C71" s="39">
        <v>84627.0</v>
      </c>
      <c r="D71" s="38" t="s">
        <v>140</v>
      </c>
      <c r="E71" s="38" t="s">
        <v>97</v>
      </c>
      <c r="F71" s="38" t="s">
        <v>141</v>
      </c>
      <c r="G71" s="40">
        <v>42697.0</v>
      </c>
      <c r="H71" s="41">
        <v>1886.5</v>
      </c>
      <c r="I71" s="42"/>
    </row>
    <row r="72">
      <c r="A72" s="38"/>
      <c r="B72" s="38" t="s">
        <v>19</v>
      </c>
      <c r="C72" s="39">
        <v>70624.0</v>
      </c>
      <c r="D72" s="38" t="s">
        <v>142</v>
      </c>
      <c r="E72" s="38" t="s">
        <v>124</v>
      </c>
      <c r="F72" s="38" t="s">
        <v>143</v>
      </c>
      <c r="G72" s="40">
        <v>42480.0</v>
      </c>
      <c r="H72" s="41">
        <v>507.23</v>
      </c>
      <c r="I72" s="42"/>
    </row>
    <row r="73">
      <c r="A73" s="38"/>
      <c r="B73" s="38" t="s">
        <v>19</v>
      </c>
      <c r="C73" s="39">
        <v>81076.0</v>
      </c>
      <c r="D73" s="38" t="s">
        <v>144</v>
      </c>
      <c r="E73" s="38" t="s">
        <v>97</v>
      </c>
      <c r="F73" s="38" t="s">
        <v>145</v>
      </c>
      <c r="G73" s="40">
        <v>42569.0</v>
      </c>
      <c r="H73" s="41">
        <v>5127.7</v>
      </c>
      <c r="I73" s="42"/>
    </row>
    <row r="74">
      <c r="A74" s="38"/>
      <c r="B74" s="38" t="s">
        <v>19</v>
      </c>
      <c r="C74" s="39">
        <v>80302.0</v>
      </c>
      <c r="D74" s="38" t="s">
        <v>144</v>
      </c>
      <c r="E74" s="38" t="s">
        <v>97</v>
      </c>
      <c r="F74" s="38" t="s">
        <v>145</v>
      </c>
      <c r="G74" s="40">
        <v>42541.0</v>
      </c>
      <c r="H74" s="41">
        <v>5127.7</v>
      </c>
      <c r="I74" s="42"/>
    </row>
    <row r="75">
      <c r="A75" s="38"/>
      <c r="B75" s="38" t="s">
        <v>19</v>
      </c>
      <c r="C75" s="39">
        <v>10844.0</v>
      </c>
      <c r="D75" s="38" t="s">
        <v>146</v>
      </c>
      <c r="E75" s="38" t="s">
        <v>95</v>
      </c>
      <c r="F75" s="38" t="s">
        <v>147</v>
      </c>
      <c r="G75" s="40">
        <v>42621.0</v>
      </c>
      <c r="H75" s="41">
        <v>436.5</v>
      </c>
      <c r="I75" s="42"/>
    </row>
    <row r="76">
      <c r="A76" s="38"/>
      <c r="B76" s="38" t="s">
        <v>19</v>
      </c>
      <c r="C76" s="39">
        <v>83455.0</v>
      </c>
      <c r="D76" s="38" t="s">
        <v>148</v>
      </c>
      <c r="E76" s="38" t="s">
        <v>97</v>
      </c>
      <c r="F76" s="38" t="s">
        <v>149</v>
      </c>
      <c r="G76" s="40">
        <v>42653.0</v>
      </c>
      <c r="H76" s="41">
        <v>524.0</v>
      </c>
      <c r="I76" s="42"/>
    </row>
    <row r="77">
      <c r="A77" s="38"/>
      <c r="B77" s="38" t="s">
        <v>19</v>
      </c>
      <c r="C77" s="39">
        <v>12036.0</v>
      </c>
      <c r="D77" s="38" t="s">
        <v>150</v>
      </c>
      <c r="E77" s="38" t="s">
        <v>95</v>
      </c>
      <c r="F77" s="38" t="s">
        <v>151</v>
      </c>
      <c r="G77" s="40">
        <v>42657.0</v>
      </c>
      <c r="H77" s="41">
        <v>1217.75</v>
      </c>
      <c r="I77" s="42"/>
    </row>
    <row r="78">
      <c r="A78" s="38"/>
      <c r="B78" s="38" t="s">
        <v>19</v>
      </c>
      <c r="C78" s="39">
        <v>12603.0</v>
      </c>
      <c r="D78" s="38" t="s">
        <v>152</v>
      </c>
      <c r="E78" s="38" t="s">
        <v>95</v>
      </c>
      <c r="F78" s="38" t="s">
        <v>153</v>
      </c>
      <c r="G78" s="40">
        <v>42664.0</v>
      </c>
      <c r="H78" s="41">
        <v>1359.25</v>
      </c>
      <c r="I78" s="42"/>
    </row>
    <row r="79">
      <c r="A79" s="38"/>
      <c r="B79" s="38" t="s">
        <v>19</v>
      </c>
      <c r="C79" s="60" t="s">
        <v>182</v>
      </c>
      <c r="D79" s="38" t="s">
        <v>171</v>
      </c>
      <c r="E79" s="38" t="s">
        <v>172</v>
      </c>
      <c r="F79" s="61" t="s">
        <v>183</v>
      </c>
      <c r="G79" s="62" t="s">
        <v>187</v>
      </c>
      <c r="H79" s="51">
        <v>8983.71</v>
      </c>
      <c r="I79" s="42"/>
    </row>
    <row r="80">
      <c r="A80" s="38"/>
      <c r="B80" s="55" t="s">
        <v>19</v>
      </c>
      <c r="C80" s="55" t="s">
        <v>182</v>
      </c>
      <c r="D80" s="38" t="s">
        <v>173</v>
      </c>
      <c r="E80" s="38" t="s">
        <v>174</v>
      </c>
      <c r="F80" s="52" t="s">
        <v>185</v>
      </c>
      <c r="G80" s="67" t="s">
        <v>187</v>
      </c>
      <c r="H80" s="51">
        <v>27894.0</v>
      </c>
      <c r="I80" s="42"/>
    </row>
    <row r="81">
      <c r="A81" s="38"/>
      <c r="B81" s="38"/>
      <c r="C81" s="38"/>
      <c r="D81" s="63"/>
      <c r="E81" s="63"/>
      <c r="F81" s="63"/>
      <c r="G81" s="68"/>
      <c r="H81" s="66">
        <f>sum(H64:H80)</f>
        <v>59543.7</v>
      </c>
      <c r="I81" s="42"/>
    </row>
    <row r="82">
      <c r="A82" s="38"/>
      <c r="B82" s="38"/>
      <c r="C82" s="39"/>
      <c r="D82" s="38"/>
      <c r="E82" s="38"/>
      <c r="F82" s="38"/>
      <c r="G82" s="40"/>
      <c r="H82" s="41"/>
      <c r="I82" s="42"/>
    </row>
    <row r="83">
      <c r="A83" s="38"/>
      <c r="B83" s="44" t="s">
        <v>188</v>
      </c>
      <c r="C83" s="39"/>
      <c r="D83" s="38"/>
      <c r="E83" s="38"/>
      <c r="F83" s="38"/>
      <c r="G83" s="40"/>
      <c r="H83" s="41"/>
      <c r="I83" s="42"/>
    </row>
    <row r="84">
      <c r="A84" s="38"/>
      <c r="B84" s="46" t="s">
        <v>85</v>
      </c>
      <c r="C84" s="47" t="s">
        <v>1</v>
      </c>
      <c r="D84" s="48" t="s">
        <v>177</v>
      </c>
      <c r="E84" s="46" t="s">
        <v>3</v>
      </c>
      <c r="F84" s="48" t="s">
        <v>178</v>
      </c>
      <c r="G84" s="49" t="s">
        <v>179</v>
      </c>
      <c r="H84" s="50" t="s">
        <v>180</v>
      </c>
      <c r="I84" s="42"/>
    </row>
    <row r="85">
      <c r="A85" s="38"/>
      <c r="B85" s="38" t="s">
        <v>19</v>
      </c>
      <c r="C85" s="39">
        <v>34840.0</v>
      </c>
      <c r="D85" s="38" t="s">
        <v>90</v>
      </c>
      <c r="E85" s="38" t="s">
        <v>91</v>
      </c>
      <c r="F85" s="38" t="s">
        <v>92</v>
      </c>
      <c r="G85" s="40">
        <v>42500.0</v>
      </c>
      <c r="H85" s="41">
        <v>651.7</v>
      </c>
      <c r="I85" s="42"/>
    </row>
    <row r="86">
      <c r="A86" s="38"/>
      <c r="B86" s="38" t="s">
        <v>19</v>
      </c>
      <c r="C86" s="39">
        <v>28066.0</v>
      </c>
      <c r="D86" s="38" t="s">
        <v>121</v>
      </c>
      <c r="E86" s="38" t="s">
        <v>105</v>
      </c>
      <c r="F86" s="38" t="s">
        <v>122</v>
      </c>
      <c r="G86" s="40">
        <v>42677.0</v>
      </c>
      <c r="H86" s="41">
        <v>141.67</v>
      </c>
      <c r="I86" s="42"/>
    </row>
    <row r="87">
      <c r="A87" s="38"/>
      <c r="B87" s="38" t="s">
        <v>19</v>
      </c>
      <c r="C87" s="39">
        <v>74225.0</v>
      </c>
      <c r="D87" s="38" t="s">
        <v>123</v>
      </c>
      <c r="E87" s="38" t="s">
        <v>124</v>
      </c>
      <c r="F87" s="38" t="s">
        <v>125</v>
      </c>
      <c r="G87" s="40">
        <v>42662.0</v>
      </c>
      <c r="H87" s="41">
        <v>281.93</v>
      </c>
      <c r="I87" s="42"/>
    </row>
    <row r="88">
      <c r="A88" s="38"/>
      <c r="B88" s="38" t="s">
        <v>19</v>
      </c>
      <c r="C88" s="39">
        <v>69032.0</v>
      </c>
      <c r="D88" s="38" t="s">
        <v>126</v>
      </c>
      <c r="E88" s="38" t="s">
        <v>124</v>
      </c>
      <c r="F88" s="38" t="s">
        <v>127</v>
      </c>
      <c r="G88" s="40">
        <v>42404.0</v>
      </c>
      <c r="H88" s="41">
        <v>710.15</v>
      </c>
      <c r="I88" s="42"/>
    </row>
    <row r="89">
      <c r="A89" s="38"/>
      <c r="B89" s="38" t="s">
        <v>19</v>
      </c>
      <c r="C89" s="39">
        <v>7976.0</v>
      </c>
      <c r="D89" s="38" t="s">
        <v>126</v>
      </c>
      <c r="E89" s="38" t="s">
        <v>95</v>
      </c>
      <c r="F89" s="38" t="s">
        <v>128</v>
      </c>
      <c r="G89" s="40">
        <v>42557.0</v>
      </c>
      <c r="H89" s="41">
        <v>290.0</v>
      </c>
      <c r="I89" s="42"/>
    </row>
    <row r="90">
      <c r="A90" s="38"/>
      <c r="B90" s="38" t="s">
        <v>19</v>
      </c>
      <c r="C90" s="39">
        <v>15490.0</v>
      </c>
      <c r="D90" s="38" t="s">
        <v>129</v>
      </c>
      <c r="E90" s="38" t="s">
        <v>130</v>
      </c>
      <c r="F90" s="38" t="s">
        <v>131</v>
      </c>
      <c r="G90" s="40">
        <v>42495.0</v>
      </c>
      <c r="H90" s="41">
        <v>1140.0</v>
      </c>
      <c r="I90" s="42"/>
    </row>
    <row r="91">
      <c r="A91" s="38"/>
      <c r="B91" s="38" t="s">
        <v>19</v>
      </c>
      <c r="C91" s="39">
        <v>70623.0</v>
      </c>
      <c r="D91" s="38" t="s">
        <v>132</v>
      </c>
      <c r="E91" s="38" t="s">
        <v>124</v>
      </c>
      <c r="F91" s="38" t="s">
        <v>131</v>
      </c>
      <c r="G91" s="40">
        <v>42480.0</v>
      </c>
      <c r="H91" s="41">
        <v>1775.38</v>
      </c>
      <c r="I91" s="42"/>
    </row>
    <row r="92">
      <c r="A92" s="38"/>
      <c r="B92" s="38" t="s">
        <v>19</v>
      </c>
      <c r="C92" s="39">
        <v>17048.0</v>
      </c>
      <c r="D92" s="38" t="s">
        <v>133</v>
      </c>
      <c r="E92" s="38" t="s">
        <v>130</v>
      </c>
      <c r="F92" s="38" t="s">
        <v>134</v>
      </c>
      <c r="G92" s="40">
        <v>42702.0</v>
      </c>
      <c r="H92" s="41">
        <v>190.0</v>
      </c>
      <c r="I92" s="42"/>
    </row>
    <row r="93">
      <c r="A93" s="38"/>
      <c r="B93" s="38" t="s">
        <v>19</v>
      </c>
      <c r="C93" s="39">
        <v>38029.0</v>
      </c>
      <c r="D93" s="38" t="s">
        <v>137</v>
      </c>
      <c r="E93" s="38" t="s">
        <v>91</v>
      </c>
      <c r="F93" s="38" t="s">
        <v>138</v>
      </c>
      <c r="G93" s="40" t="s">
        <v>139</v>
      </c>
      <c r="H93" s="41">
        <v>651.7</v>
      </c>
      <c r="I93" s="42"/>
    </row>
    <row r="94">
      <c r="A94" s="38"/>
      <c r="B94" s="38" t="s">
        <v>19</v>
      </c>
      <c r="C94" s="39">
        <v>70624.0</v>
      </c>
      <c r="D94" s="38" t="s">
        <v>142</v>
      </c>
      <c r="E94" s="38" t="s">
        <v>124</v>
      </c>
      <c r="F94" s="38" t="s">
        <v>143</v>
      </c>
      <c r="G94" s="40">
        <v>42480.0</v>
      </c>
      <c r="H94" s="41">
        <v>253.62</v>
      </c>
      <c r="I94" s="42"/>
    </row>
    <row r="95">
      <c r="A95" s="38"/>
      <c r="B95" s="38" t="s">
        <v>19</v>
      </c>
      <c r="C95" s="60" t="s">
        <v>182</v>
      </c>
      <c r="D95" s="38" t="s">
        <v>171</v>
      </c>
      <c r="E95" s="38" t="s">
        <v>172</v>
      </c>
      <c r="F95" s="52" t="s">
        <v>183</v>
      </c>
      <c r="G95" s="62" t="s">
        <v>187</v>
      </c>
      <c r="H95" s="51">
        <v>8983.71</v>
      </c>
      <c r="I95" s="42"/>
    </row>
    <row r="96">
      <c r="A96" s="38"/>
      <c r="B96" s="55" t="s">
        <v>19</v>
      </c>
      <c r="C96" s="55" t="s">
        <v>182</v>
      </c>
      <c r="D96" s="55" t="s">
        <v>173</v>
      </c>
      <c r="E96" s="55" t="s">
        <v>174</v>
      </c>
      <c r="F96" s="69" t="s">
        <v>189</v>
      </c>
      <c r="G96" s="67" t="s">
        <v>187</v>
      </c>
      <c r="H96" s="58">
        <v>27894.0</v>
      </c>
      <c r="I96" s="42"/>
    </row>
    <row r="97">
      <c r="A97" s="38"/>
      <c r="B97" s="38"/>
      <c r="C97" s="38"/>
      <c r="D97" s="38"/>
      <c r="E97" s="38"/>
      <c r="F97" s="38"/>
      <c r="G97" s="68"/>
      <c r="H97" s="59">
        <f>sum(H85:H96)</f>
        <v>42963.86</v>
      </c>
      <c r="I97" s="42"/>
    </row>
    <row r="98">
      <c r="A98" s="38"/>
      <c r="B98" s="38"/>
      <c r="C98" s="39"/>
      <c r="D98" s="38"/>
      <c r="E98" s="38"/>
      <c r="F98" s="38"/>
      <c r="G98" s="40"/>
      <c r="H98" s="41"/>
      <c r="I98" s="42"/>
    </row>
    <row r="99">
      <c r="A99" s="38"/>
      <c r="B99" s="38"/>
      <c r="C99" s="39"/>
      <c r="D99" s="38"/>
      <c r="E99" s="38"/>
      <c r="F99" s="38"/>
      <c r="G99" s="40"/>
      <c r="H99" s="41"/>
      <c r="I99" s="4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2" max="2" width="17.63"/>
    <col customWidth="1" hidden="1" min="4" max="4" width="16.75"/>
    <col customWidth="1" hidden="1" min="5" max="5" width="15.88"/>
    <col customWidth="1" min="6" max="6" width="62.63"/>
    <col customWidth="1" min="8" max="8" width="9.38"/>
    <col customWidth="1" min="9" max="9" width="3.88"/>
  </cols>
  <sheetData>
    <row r="1">
      <c r="A1" s="70"/>
      <c r="B1" s="70"/>
      <c r="C1" s="71"/>
      <c r="D1" s="72"/>
      <c r="E1" s="72"/>
      <c r="F1" s="70"/>
      <c r="G1" s="73"/>
      <c r="H1" s="74"/>
      <c r="I1" s="75"/>
    </row>
    <row r="2">
      <c r="A2" s="76"/>
      <c r="B2" s="77" t="s">
        <v>176</v>
      </c>
      <c r="C2" s="71"/>
      <c r="D2" s="72"/>
      <c r="E2" s="72"/>
      <c r="F2" s="70"/>
      <c r="G2" s="73"/>
      <c r="H2" s="74"/>
      <c r="I2" s="75"/>
    </row>
    <row r="3">
      <c r="A3" s="78"/>
      <c r="B3" s="79" t="s">
        <v>0</v>
      </c>
      <c r="C3" s="80" t="s">
        <v>1</v>
      </c>
      <c r="D3" s="81" t="s">
        <v>2</v>
      </c>
      <c r="E3" s="82" t="s">
        <v>3</v>
      </c>
      <c r="F3" s="83" t="s">
        <v>4</v>
      </c>
      <c r="G3" s="84" t="s">
        <v>179</v>
      </c>
      <c r="H3" s="85" t="s">
        <v>180</v>
      </c>
      <c r="I3" s="86"/>
    </row>
    <row r="4">
      <c r="A4" s="87"/>
      <c r="B4" s="87" t="s">
        <v>12</v>
      </c>
      <c r="C4" s="88" t="s">
        <v>13</v>
      </c>
      <c r="D4" s="89" t="s">
        <v>14</v>
      </c>
      <c r="E4" s="72"/>
      <c r="F4" s="90" t="s">
        <v>190</v>
      </c>
      <c r="G4" s="73">
        <v>42641.0</v>
      </c>
      <c r="H4" s="74">
        <v>579.24</v>
      </c>
      <c r="I4" s="86"/>
    </row>
    <row r="5">
      <c r="A5" s="87"/>
      <c r="B5" s="87" t="s">
        <v>17</v>
      </c>
      <c r="C5" s="91" t="s">
        <v>191</v>
      </c>
      <c r="D5" s="89" t="s">
        <v>14</v>
      </c>
      <c r="E5" s="72"/>
      <c r="F5" s="90" t="s">
        <v>190</v>
      </c>
      <c r="G5" s="73">
        <v>42641.0</v>
      </c>
      <c r="H5" s="74">
        <v>138.01</v>
      </c>
      <c r="I5" s="86"/>
    </row>
    <row r="6">
      <c r="A6" s="87"/>
      <c r="B6" s="87" t="s">
        <v>19</v>
      </c>
      <c r="C6" s="88">
        <v>11849.0</v>
      </c>
      <c r="D6" s="89" t="s">
        <v>14</v>
      </c>
      <c r="E6" s="89" t="s">
        <v>20</v>
      </c>
      <c r="F6" s="90" t="s">
        <v>192</v>
      </c>
      <c r="G6" s="73">
        <v>42529.0</v>
      </c>
      <c r="H6" s="74">
        <v>877.5</v>
      </c>
      <c r="I6" s="86"/>
    </row>
    <row r="7">
      <c r="A7" s="87"/>
      <c r="B7" s="87" t="s">
        <v>19</v>
      </c>
      <c r="C7" s="88">
        <v>38.0</v>
      </c>
      <c r="D7" s="89" t="s">
        <v>14</v>
      </c>
      <c r="E7" s="89" t="s">
        <v>21</v>
      </c>
      <c r="F7" s="90" t="s">
        <v>192</v>
      </c>
      <c r="G7" s="73">
        <v>42611.0</v>
      </c>
      <c r="H7" s="74">
        <v>1000.0</v>
      </c>
      <c r="I7" s="86"/>
    </row>
    <row r="8">
      <c r="A8" s="87"/>
      <c r="B8" s="87" t="s">
        <v>19</v>
      </c>
      <c r="C8" s="88">
        <v>48.0</v>
      </c>
      <c r="D8" s="89" t="s">
        <v>14</v>
      </c>
      <c r="E8" s="89" t="s">
        <v>21</v>
      </c>
      <c r="F8" s="90" t="s">
        <v>192</v>
      </c>
      <c r="G8" s="73">
        <v>42654.0</v>
      </c>
      <c r="H8" s="74">
        <v>89.0</v>
      </c>
      <c r="I8" s="86"/>
    </row>
    <row r="9">
      <c r="A9" s="87"/>
      <c r="B9" s="87" t="s">
        <v>19</v>
      </c>
      <c r="C9" s="88">
        <v>776332.0</v>
      </c>
      <c r="D9" s="89" t="s">
        <v>14</v>
      </c>
      <c r="E9" s="89" t="s">
        <v>22</v>
      </c>
      <c r="F9" s="90" t="s">
        <v>192</v>
      </c>
      <c r="G9" s="73">
        <v>42633.0</v>
      </c>
      <c r="H9" s="74">
        <v>105.6</v>
      </c>
      <c r="I9" s="86"/>
    </row>
    <row r="10">
      <c r="A10" s="87"/>
      <c r="B10" s="87" t="s">
        <v>19</v>
      </c>
      <c r="C10" s="88">
        <v>5270.0</v>
      </c>
      <c r="D10" s="89" t="s">
        <v>14</v>
      </c>
      <c r="E10" s="89" t="s">
        <v>24</v>
      </c>
      <c r="F10" s="87" t="s">
        <v>25</v>
      </c>
      <c r="G10" s="73">
        <v>42520.0</v>
      </c>
      <c r="H10" s="74">
        <v>1323.55</v>
      </c>
      <c r="I10" s="86"/>
    </row>
    <row r="11">
      <c r="A11" s="87"/>
      <c r="B11" s="87" t="s">
        <v>19</v>
      </c>
      <c r="C11" s="88">
        <v>6739.0</v>
      </c>
      <c r="D11" s="89" t="s">
        <v>26</v>
      </c>
      <c r="E11" s="89" t="s">
        <v>27</v>
      </c>
      <c r="F11" s="87" t="s">
        <v>28</v>
      </c>
      <c r="G11" s="73">
        <v>42675.0</v>
      </c>
      <c r="H11" s="74">
        <v>240.0</v>
      </c>
      <c r="I11" s="86"/>
    </row>
    <row r="12">
      <c r="A12" s="87"/>
      <c r="B12" s="87" t="s">
        <v>19</v>
      </c>
      <c r="C12" s="88">
        <v>3957.0</v>
      </c>
      <c r="D12" s="89" t="s">
        <v>29</v>
      </c>
      <c r="E12" s="89" t="s">
        <v>30</v>
      </c>
      <c r="F12" s="87" t="s">
        <v>31</v>
      </c>
      <c r="G12" s="73">
        <v>42639.0</v>
      </c>
      <c r="H12" s="74">
        <v>627.6</v>
      </c>
      <c r="I12" s="86"/>
    </row>
    <row r="13">
      <c r="A13" s="87"/>
      <c r="B13" s="87" t="s">
        <v>19</v>
      </c>
      <c r="C13" s="88">
        <v>2162.0</v>
      </c>
      <c r="D13" s="89" t="s">
        <v>32</v>
      </c>
      <c r="E13" s="89" t="s">
        <v>33</v>
      </c>
      <c r="F13" s="87" t="s">
        <v>34</v>
      </c>
      <c r="G13" s="73">
        <v>42706.0</v>
      </c>
      <c r="H13" s="74">
        <v>127.68</v>
      </c>
      <c r="I13" s="86"/>
    </row>
    <row r="14">
      <c r="A14" s="87"/>
      <c r="B14" s="87" t="s">
        <v>35</v>
      </c>
      <c r="C14" s="88">
        <v>422135.0</v>
      </c>
      <c r="D14" s="89" t="s">
        <v>36</v>
      </c>
      <c r="E14" s="72"/>
      <c r="F14" s="87" t="s">
        <v>37</v>
      </c>
      <c r="G14" s="73">
        <v>42605.0</v>
      </c>
      <c r="H14" s="74">
        <v>41.25</v>
      </c>
      <c r="I14" s="86"/>
    </row>
    <row r="15">
      <c r="A15" s="87"/>
      <c r="B15" s="87" t="s">
        <v>38</v>
      </c>
      <c r="C15" s="88" t="s">
        <v>39</v>
      </c>
      <c r="D15" s="89" t="s">
        <v>36</v>
      </c>
      <c r="E15" s="72"/>
      <c r="F15" s="87" t="s">
        <v>40</v>
      </c>
      <c r="G15" s="73">
        <v>42576.0</v>
      </c>
      <c r="H15" s="74">
        <v>436.44</v>
      </c>
      <c r="I15" s="86"/>
    </row>
    <row r="16">
      <c r="A16" s="87"/>
      <c r="B16" s="87" t="s">
        <v>48</v>
      </c>
      <c r="C16" s="88">
        <v>71047.0</v>
      </c>
      <c r="D16" s="89" t="s">
        <v>49</v>
      </c>
      <c r="E16" s="89" t="s">
        <v>50</v>
      </c>
      <c r="F16" s="87" t="s">
        <v>34</v>
      </c>
      <c r="G16" s="73">
        <v>42664.0</v>
      </c>
      <c r="H16" s="74">
        <v>77.49</v>
      </c>
      <c r="I16" s="86"/>
    </row>
    <row r="17">
      <c r="A17" s="87"/>
      <c r="B17" s="87" t="s">
        <v>17</v>
      </c>
      <c r="C17" s="91" t="s">
        <v>191</v>
      </c>
      <c r="D17" s="89" t="s">
        <v>51</v>
      </c>
      <c r="E17" s="72"/>
      <c r="F17" s="87" t="s">
        <v>52</v>
      </c>
      <c r="G17" s="73">
        <v>42667.0</v>
      </c>
      <c r="H17" s="74">
        <v>315.63</v>
      </c>
      <c r="I17" s="86"/>
    </row>
    <row r="18">
      <c r="A18" s="87"/>
      <c r="B18" s="92" t="s">
        <v>35</v>
      </c>
      <c r="C18" s="93">
        <v>411869.0</v>
      </c>
      <c r="D18" s="94" t="s">
        <v>59</v>
      </c>
      <c r="E18" s="95"/>
      <c r="F18" s="92" t="s">
        <v>60</v>
      </c>
      <c r="G18" s="96">
        <v>42598.0</v>
      </c>
      <c r="H18" s="97">
        <v>1399.49</v>
      </c>
      <c r="I18" s="86"/>
    </row>
    <row r="19">
      <c r="A19" s="70"/>
      <c r="B19" s="70"/>
      <c r="C19" s="71"/>
      <c r="D19" s="72"/>
      <c r="E19" s="72"/>
      <c r="F19" s="70"/>
      <c r="G19" s="98">
        <v>9297.08</v>
      </c>
      <c r="H19" s="99">
        <f>sum(H4:H18)</f>
        <v>7378.48</v>
      </c>
      <c r="I19" s="75"/>
    </row>
    <row r="20">
      <c r="A20" s="70"/>
      <c r="B20" s="70"/>
      <c r="C20" s="71"/>
      <c r="D20" s="72"/>
      <c r="E20" s="72"/>
      <c r="F20" s="70"/>
      <c r="G20" s="73"/>
      <c r="H20" s="74">
        <f>G19-H19</f>
        <v>1918.6</v>
      </c>
      <c r="I20" s="75"/>
    </row>
    <row r="21">
      <c r="A21" s="70"/>
      <c r="B21" s="77" t="s">
        <v>181</v>
      </c>
      <c r="C21" s="71"/>
      <c r="D21" s="72"/>
      <c r="E21" s="72"/>
      <c r="F21" s="70"/>
      <c r="G21" s="73"/>
      <c r="H21" s="74"/>
      <c r="I21" s="75"/>
    </row>
    <row r="22">
      <c r="A22" s="70"/>
      <c r="B22" s="100" t="s">
        <v>0</v>
      </c>
      <c r="C22" s="101" t="s">
        <v>1</v>
      </c>
      <c r="D22" s="102" t="s">
        <v>2</v>
      </c>
      <c r="E22" s="103" t="s">
        <v>3</v>
      </c>
      <c r="F22" s="104" t="s">
        <v>4</v>
      </c>
      <c r="G22" s="105" t="s">
        <v>5</v>
      </c>
      <c r="H22" s="85" t="s">
        <v>180</v>
      </c>
      <c r="I22" s="75"/>
    </row>
    <row r="23">
      <c r="A23" s="70"/>
      <c r="B23" s="70" t="s">
        <v>41</v>
      </c>
      <c r="C23" s="71" t="s">
        <v>42</v>
      </c>
      <c r="D23" s="72" t="s">
        <v>43</v>
      </c>
      <c r="E23" s="72" t="s">
        <v>44</v>
      </c>
      <c r="F23" s="70" t="s">
        <v>45</v>
      </c>
      <c r="G23" s="73">
        <v>42432.0</v>
      </c>
      <c r="H23" s="74">
        <v>107.33</v>
      </c>
      <c r="I23" s="75"/>
    </row>
    <row r="24">
      <c r="A24" s="70"/>
      <c r="B24" s="70" t="s">
        <v>19</v>
      </c>
      <c r="C24" s="71">
        <v>2177.0</v>
      </c>
      <c r="D24" s="72" t="s">
        <v>46</v>
      </c>
      <c r="E24" s="72"/>
      <c r="F24" s="70" t="s">
        <v>47</v>
      </c>
      <c r="G24" s="73">
        <v>42719.0</v>
      </c>
      <c r="H24" s="74">
        <v>415.6</v>
      </c>
      <c r="I24" s="75"/>
    </row>
    <row r="25">
      <c r="A25" s="70"/>
      <c r="B25" s="70" t="s">
        <v>19</v>
      </c>
      <c r="C25" s="71">
        <v>158262.0</v>
      </c>
      <c r="D25" s="72" t="s">
        <v>53</v>
      </c>
      <c r="E25" s="72" t="s">
        <v>54</v>
      </c>
      <c r="F25" s="90" t="s">
        <v>193</v>
      </c>
      <c r="G25" s="73">
        <v>42554.0</v>
      </c>
      <c r="H25" s="74">
        <v>25.18</v>
      </c>
      <c r="I25" s="75"/>
    </row>
    <row r="26">
      <c r="A26" s="70"/>
      <c r="B26" s="92" t="s">
        <v>194</v>
      </c>
      <c r="C26" s="93" t="s">
        <v>195</v>
      </c>
      <c r="D26" s="95" t="s">
        <v>57</v>
      </c>
      <c r="E26" s="95"/>
      <c r="F26" s="106" t="s">
        <v>196</v>
      </c>
      <c r="G26" s="96">
        <v>42607.0</v>
      </c>
      <c r="H26" s="97">
        <v>347.04</v>
      </c>
      <c r="I26" s="75"/>
    </row>
    <row r="27">
      <c r="A27" s="70"/>
      <c r="B27" s="70"/>
      <c r="C27" s="71"/>
      <c r="D27" s="72"/>
      <c r="E27" s="72"/>
      <c r="F27" s="70"/>
      <c r="G27" s="73"/>
      <c r="H27" s="99">
        <f>sum(H23:H26)</f>
        <v>895.15</v>
      </c>
      <c r="I27" s="75"/>
    </row>
    <row r="28">
      <c r="A28" s="70"/>
      <c r="B28" s="70"/>
      <c r="C28" s="71"/>
      <c r="D28" s="72"/>
      <c r="E28" s="72"/>
      <c r="F28" s="70"/>
      <c r="G28" s="73"/>
      <c r="H28" s="74"/>
      <c r="I28" s="75"/>
    </row>
    <row r="29">
      <c r="A29" s="70"/>
      <c r="B29" s="77" t="s">
        <v>186</v>
      </c>
      <c r="C29" s="71"/>
      <c r="D29" s="72"/>
      <c r="E29" s="72"/>
      <c r="F29" s="70"/>
      <c r="G29" s="73"/>
      <c r="H29" s="74"/>
      <c r="I29" s="75"/>
    </row>
    <row r="30">
      <c r="A30" s="70"/>
      <c r="B30" s="100" t="s">
        <v>85</v>
      </c>
      <c r="C30" s="101" t="s">
        <v>1</v>
      </c>
      <c r="D30" s="81" t="s">
        <v>177</v>
      </c>
      <c r="E30" s="103" t="s">
        <v>3</v>
      </c>
      <c r="F30" s="83" t="s">
        <v>178</v>
      </c>
      <c r="G30" s="84" t="s">
        <v>179</v>
      </c>
      <c r="H30" s="85" t="s">
        <v>180</v>
      </c>
      <c r="I30" s="75"/>
    </row>
    <row r="31">
      <c r="A31" s="70"/>
      <c r="B31" s="106" t="s">
        <v>197</v>
      </c>
      <c r="C31" s="107">
        <v>411869.0</v>
      </c>
      <c r="D31" s="95" t="s">
        <v>59</v>
      </c>
      <c r="E31" s="95"/>
      <c r="F31" s="106" t="s">
        <v>198</v>
      </c>
      <c r="G31" s="96">
        <v>42598.0</v>
      </c>
      <c r="H31" s="97">
        <v>2798.98</v>
      </c>
      <c r="I31" s="75"/>
    </row>
    <row r="32">
      <c r="A32" s="70"/>
      <c r="B32" s="70"/>
      <c r="C32" s="71"/>
      <c r="D32" s="72"/>
      <c r="E32" s="72"/>
      <c r="F32" s="70"/>
      <c r="G32" s="73"/>
      <c r="H32" s="99">
        <f>sum(H30:H31)</f>
        <v>2798.98</v>
      </c>
      <c r="I32" s="75"/>
    </row>
    <row r="33">
      <c r="A33" s="70"/>
      <c r="B33" s="70"/>
      <c r="C33" s="71"/>
      <c r="D33" s="72"/>
      <c r="E33" s="72"/>
      <c r="F33" s="70"/>
      <c r="G33" s="73"/>
      <c r="H33" s="74"/>
      <c r="I33" s="75"/>
    </row>
    <row r="34">
      <c r="A34" s="70"/>
      <c r="B34" s="77" t="s">
        <v>11</v>
      </c>
      <c r="C34" s="71"/>
      <c r="D34" s="72"/>
      <c r="E34" s="72"/>
      <c r="F34" s="70"/>
      <c r="G34" s="73"/>
      <c r="H34" s="74"/>
      <c r="I34" s="75"/>
    </row>
    <row r="35">
      <c r="A35" s="70"/>
      <c r="B35" s="100" t="s">
        <v>85</v>
      </c>
      <c r="C35" s="101" t="s">
        <v>1</v>
      </c>
      <c r="D35" s="81" t="s">
        <v>177</v>
      </c>
      <c r="E35" s="103" t="s">
        <v>3</v>
      </c>
      <c r="F35" s="81" t="s">
        <v>178</v>
      </c>
      <c r="G35" s="84" t="s">
        <v>179</v>
      </c>
      <c r="H35" s="85" t="s">
        <v>180</v>
      </c>
      <c r="I35" s="75"/>
    </row>
    <row r="36">
      <c r="A36" s="70"/>
      <c r="B36" s="70" t="s">
        <v>12</v>
      </c>
      <c r="C36" s="71" t="s">
        <v>61</v>
      </c>
      <c r="D36" s="72" t="s">
        <v>11</v>
      </c>
      <c r="E36" s="72"/>
      <c r="F36" s="72" t="s">
        <v>62</v>
      </c>
      <c r="G36" s="73">
        <v>42626.0</v>
      </c>
      <c r="H36" s="74">
        <v>350.0</v>
      </c>
      <c r="I36" s="75"/>
    </row>
    <row r="37">
      <c r="A37" s="70"/>
      <c r="B37" s="70" t="s">
        <v>63</v>
      </c>
      <c r="C37" s="71">
        <v>1.167152312E9</v>
      </c>
      <c r="D37" s="72" t="s">
        <v>11</v>
      </c>
      <c r="E37" s="72"/>
      <c r="F37" s="72" t="s">
        <v>64</v>
      </c>
      <c r="G37" s="73">
        <v>42681.0</v>
      </c>
      <c r="H37" s="74">
        <v>290.0</v>
      </c>
      <c r="I37" s="75"/>
    </row>
    <row r="38">
      <c r="A38" s="70"/>
      <c r="B38" s="70" t="s">
        <v>12</v>
      </c>
      <c r="C38" s="71" t="s">
        <v>65</v>
      </c>
      <c r="D38" s="72" t="s">
        <v>11</v>
      </c>
      <c r="E38" s="72"/>
      <c r="F38" s="72" t="s">
        <v>66</v>
      </c>
      <c r="G38" s="73">
        <v>42681.0</v>
      </c>
      <c r="H38" s="74">
        <v>396.12</v>
      </c>
      <c r="I38" s="75"/>
    </row>
    <row r="39">
      <c r="A39" s="70"/>
      <c r="B39" s="70" t="s">
        <v>67</v>
      </c>
      <c r="C39" s="71" t="s">
        <v>68</v>
      </c>
      <c r="D39" s="72" t="s">
        <v>11</v>
      </c>
      <c r="E39" s="72"/>
      <c r="F39" s="72" t="s">
        <v>69</v>
      </c>
      <c r="G39" s="73">
        <v>42425.0</v>
      </c>
      <c r="H39" s="74">
        <v>773.78</v>
      </c>
      <c r="I39" s="75"/>
    </row>
    <row r="40">
      <c r="A40" s="70"/>
      <c r="B40" s="70" t="s">
        <v>12</v>
      </c>
      <c r="C40" s="71" t="s">
        <v>70</v>
      </c>
      <c r="D40" s="72" t="s">
        <v>11</v>
      </c>
      <c r="E40" s="72"/>
      <c r="F40" s="72" t="s">
        <v>71</v>
      </c>
      <c r="G40" s="73">
        <v>42439.0</v>
      </c>
      <c r="H40" s="74">
        <v>695.28</v>
      </c>
      <c r="I40" s="75"/>
    </row>
    <row r="41">
      <c r="A41" s="70"/>
      <c r="B41" s="70" t="s">
        <v>17</v>
      </c>
      <c r="C41" s="71"/>
      <c r="D41" s="72" t="s">
        <v>11</v>
      </c>
      <c r="E41" s="72"/>
      <c r="F41" s="72" t="s">
        <v>72</v>
      </c>
      <c r="G41" s="73">
        <v>42439.0</v>
      </c>
      <c r="H41" s="74">
        <v>261.7</v>
      </c>
      <c r="I41" s="75"/>
    </row>
    <row r="42">
      <c r="A42" s="70"/>
      <c r="B42" s="70" t="s">
        <v>12</v>
      </c>
      <c r="C42" s="71" t="s">
        <v>73</v>
      </c>
      <c r="D42" s="72" t="s">
        <v>11</v>
      </c>
      <c r="E42" s="72"/>
      <c r="F42" s="72" t="s">
        <v>74</v>
      </c>
      <c r="G42" s="73">
        <v>42657.0</v>
      </c>
      <c r="H42" s="74">
        <v>555.26</v>
      </c>
      <c r="I42" s="75"/>
    </row>
    <row r="43">
      <c r="A43" s="70"/>
      <c r="B43" s="70" t="s">
        <v>75</v>
      </c>
      <c r="C43" s="71"/>
      <c r="D43" s="72" t="s">
        <v>11</v>
      </c>
      <c r="E43" s="72"/>
      <c r="F43" s="72" t="s">
        <v>76</v>
      </c>
      <c r="G43" s="73">
        <v>42657.0</v>
      </c>
      <c r="H43" s="74">
        <v>130.39</v>
      </c>
      <c r="I43" s="75"/>
    </row>
    <row r="44">
      <c r="A44" s="70"/>
      <c r="B44" s="70" t="s">
        <v>17</v>
      </c>
      <c r="C44" s="71"/>
      <c r="D44" s="72" t="s">
        <v>11</v>
      </c>
      <c r="E44" s="72"/>
      <c r="F44" s="72" t="s">
        <v>77</v>
      </c>
      <c r="G44" s="73">
        <v>42480.0</v>
      </c>
      <c r="H44" s="74">
        <v>165.0</v>
      </c>
      <c r="I44" s="75"/>
    </row>
    <row r="45">
      <c r="A45" s="70"/>
      <c r="B45" s="70" t="s">
        <v>12</v>
      </c>
      <c r="C45" s="71" t="s">
        <v>78</v>
      </c>
      <c r="D45" s="72" t="s">
        <v>11</v>
      </c>
      <c r="E45" s="72"/>
      <c r="F45" s="72" t="s">
        <v>79</v>
      </c>
      <c r="G45" s="73">
        <v>42480.0</v>
      </c>
      <c r="H45" s="74">
        <v>359.94</v>
      </c>
      <c r="I45" s="75"/>
    </row>
    <row r="46">
      <c r="A46" s="70"/>
      <c r="B46" s="70" t="s">
        <v>12</v>
      </c>
      <c r="C46" s="71" t="s">
        <v>80</v>
      </c>
      <c r="D46" s="72" t="s">
        <v>11</v>
      </c>
      <c r="E46" s="72"/>
      <c r="F46" s="72" t="s">
        <v>81</v>
      </c>
      <c r="G46" s="73">
        <v>42605.0</v>
      </c>
      <c r="H46" s="74">
        <v>411.26</v>
      </c>
      <c r="I46" s="75"/>
    </row>
    <row r="47">
      <c r="A47" s="70"/>
      <c r="B47" s="108" t="s">
        <v>82</v>
      </c>
      <c r="C47" s="107" t="s">
        <v>83</v>
      </c>
      <c r="D47" s="95" t="s">
        <v>11</v>
      </c>
      <c r="E47" s="95"/>
      <c r="F47" s="95" t="s">
        <v>84</v>
      </c>
      <c r="G47" s="96">
        <v>42703.0</v>
      </c>
      <c r="H47" s="97">
        <v>718.73</v>
      </c>
      <c r="I47" s="75"/>
    </row>
    <row r="48">
      <c r="A48" s="78"/>
      <c r="B48" s="76" t="s">
        <v>194</v>
      </c>
      <c r="C48" s="109" t="s">
        <v>195</v>
      </c>
      <c r="D48" s="72"/>
      <c r="E48" s="72"/>
      <c r="F48" s="76" t="s">
        <v>199</v>
      </c>
      <c r="G48" s="73"/>
      <c r="H48" s="99">
        <f>sum(H36:H47)</f>
        <v>5107.46</v>
      </c>
      <c r="I48" s="75"/>
    </row>
    <row r="49">
      <c r="A49" s="70"/>
      <c r="B49" s="70"/>
      <c r="C49" s="71"/>
      <c r="D49" s="72"/>
      <c r="E49" s="72"/>
      <c r="F49" s="70"/>
      <c r="G49" s="73"/>
      <c r="H49" s="74"/>
      <c r="I49" s="75"/>
    </row>
    <row r="50">
      <c r="A50" s="70"/>
      <c r="B50" s="70"/>
      <c r="C50" s="71"/>
      <c r="D50" s="72"/>
      <c r="E50" s="72"/>
      <c r="F50" s="70"/>
      <c r="G50" s="73"/>
      <c r="H50" s="74"/>
      <c r="I50" s="75"/>
    </row>
  </sheetData>
  <drawing r:id="rId1"/>
</worksheet>
</file>