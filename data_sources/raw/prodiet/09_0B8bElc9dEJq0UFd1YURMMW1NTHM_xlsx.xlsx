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 filterPrivacy="1" codeName="EstaPastaDeTrabalho"/>
  <bookViews>
    <workbookView xWindow="0" yWindow="900" windowWidth="20490" windowHeight="7065"/>
  </bookViews>
  <sheets>
    <sheet name="Resumo" sheetId="4" r:id="rId1"/>
    <sheet name="Distribuição" sheetId="9" r:id="rId2"/>
    <sheet name="(a) Investimentos" sheetId="5" r:id="rId3"/>
    <sheet name="(a) Investimentos (2)" sheetId="12" r:id="rId4"/>
    <sheet name="(b) Timesheet consolidado" sheetId="1" r:id="rId5"/>
    <sheet name="(c) Dedicação exclusiva" sheetId="7" r:id="rId6"/>
    <sheet name="Salários" sheetId="2" r:id="rId7"/>
    <sheet name="Dias úteis" sheetId="3" r:id="rId8"/>
    <sheet name="Salários (bruto)" sheetId="6" r:id="rId9"/>
    <sheet name="Informações RH" sheetId="8" r:id="rId10"/>
    <sheet name="CNPJ NPs" sheetId="10" r:id="rId11"/>
    <sheet name="Receita líquida" sheetId="11" r:id="rId12"/>
  </sheets>
  <definedNames>
    <definedName name="_xlnm._FilterDatabase" localSheetId="2" hidden="1">'(a) Investimentos'!$A$7:$AB$114</definedName>
    <definedName name="_xlnm._FilterDatabase" localSheetId="3" hidden="1">'(a) Investimentos (2)'!$A$7:$AB$114</definedName>
    <definedName name="_xlnm._FilterDatabase" localSheetId="4" hidden="1">'(b) Timesheet consolidado'!$A$8:$K$71</definedName>
    <definedName name="_xlnm._FilterDatabase" localSheetId="1" hidden="1">Distribuição!$A$32:$I$54</definedName>
    <definedName name="_xlnm.Print_Area" localSheetId="2">'(a) Investimentos'!$A$1:$AA$84</definedName>
    <definedName name="_xlnm.Print_Area" localSheetId="3">'(a) Investimentos (2)'!$A$1:$AA$114</definedName>
    <definedName name="_xlnm.Print_Area" localSheetId="4">'(b) Timesheet consolidado'!$A$1:$K$71</definedName>
    <definedName name="_xlnm.Print_Area" localSheetId="5">'(c) Dedicação exclusiva'!$A$1:$Q$13</definedName>
    <definedName name="_xlnm.Print_Area" localSheetId="7">'Dias úteis'!$A$1:$H$19</definedName>
    <definedName name="_xlnm.Print_Area" localSheetId="6">Salários!$A$1:$Q$42</definedName>
    <definedName name="_xlnm.Print_Titles" localSheetId="2">'(a) Investimentos'!$7:$7</definedName>
    <definedName name="_xlnm.Print_Titles" localSheetId="3">'(a) Investimentos (2)'!$7:$7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14" i="12" l="1"/>
  <c r="M114" i="12"/>
  <c r="N114" i="12" s="1"/>
  <c r="Z114" i="12" s="1"/>
  <c r="D114" i="12"/>
  <c r="U113" i="12"/>
  <c r="M113" i="12"/>
  <c r="N113" i="12" s="1"/>
  <c r="AA113" i="12" s="1"/>
  <c r="D113" i="12"/>
  <c r="U112" i="12"/>
  <c r="M112" i="12"/>
  <c r="N112" i="12" s="1"/>
  <c r="D112" i="12"/>
  <c r="U111" i="12"/>
  <c r="M111" i="12"/>
  <c r="N111" i="12" s="1"/>
  <c r="Z111" i="12" s="1"/>
  <c r="D111" i="12"/>
  <c r="U110" i="12"/>
  <c r="M110" i="12"/>
  <c r="N110" i="12" s="1"/>
  <c r="AA110" i="12" s="1"/>
  <c r="D110" i="12"/>
  <c r="U109" i="12"/>
  <c r="M109" i="12"/>
  <c r="N109" i="12" s="1"/>
  <c r="W109" i="12" s="1"/>
  <c r="D109" i="12"/>
  <c r="U108" i="12"/>
  <c r="M108" i="12"/>
  <c r="N108" i="12" s="1"/>
  <c r="Y108" i="12" s="1"/>
  <c r="D108" i="12"/>
  <c r="U107" i="12"/>
  <c r="M107" i="12"/>
  <c r="N107" i="12" s="1"/>
  <c r="D107" i="12"/>
  <c r="AA106" i="12"/>
  <c r="U106" i="12"/>
  <c r="M106" i="12"/>
  <c r="N106" i="12" s="1"/>
  <c r="Z106" i="12" s="1"/>
  <c r="D106" i="12"/>
  <c r="U105" i="12"/>
  <c r="M105" i="12"/>
  <c r="N105" i="12" s="1"/>
  <c r="AA105" i="12" s="1"/>
  <c r="D105" i="12"/>
  <c r="U104" i="12"/>
  <c r="M104" i="12"/>
  <c r="N104" i="12" s="1"/>
  <c r="Y104" i="12" s="1"/>
  <c r="D104" i="12"/>
  <c r="U103" i="12"/>
  <c r="M103" i="12"/>
  <c r="N103" i="12" s="1"/>
  <c r="Z103" i="12" s="1"/>
  <c r="D103" i="12"/>
  <c r="U102" i="12"/>
  <c r="N102" i="12"/>
  <c r="Z102" i="12" s="1"/>
  <c r="U101" i="12"/>
  <c r="N101" i="12"/>
  <c r="U100" i="12"/>
  <c r="N100" i="12"/>
  <c r="U99" i="12"/>
  <c r="N99" i="12"/>
  <c r="Z99" i="12" s="1"/>
  <c r="U98" i="12"/>
  <c r="N98" i="12"/>
  <c r="Y98" i="12" s="1"/>
  <c r="Z97" i="12"/>
  <c r="U97" i="12"/>
  <c r="N97" i="12"/>
  <c r="X97" i="12" s="1"/>
  <c r="U96" i="12"/>
  <c r="N96" i="12"/>
  <c r="X96" i="12" s="1"/>
  <c r="U95" i="12"/>
  <c r="N95" i="12"/>
  <c r="AA95" i="12" s="1"/>
  <c r="U94" i="12"/>
  <c r="N94" i="12"/>
  <c r="Z94" i="12" s="1"/>
  <c r="U93" i="12"/>
  <c r="N93" i="12"/>
  <c r="U92" i="12"/>
  <c r="N92" i="12"/>
  <c r="Y92" i="12" s="1"/>
  <c r="U91" i="12"/>
  <c r="N91" i="12"/>
  <c r="X91" i="12" s="1"/>
  <c r="U90" i="12"/>
  <c r="N90" i="12"/>
  <c r="Y90" i="12" s="1"/>
  <c r="U89" i="12"/>
  <c r="N89" i="12"/>
  <c r="X89" i="12" s="1"/>
  <c r="U88" i="12"/>
  <c r="N88" i="12"/>
  <c r="Z88" i="12" s="1"/>
  <c r="U87" i="12"/>
  <c r="N87" i="12"/>
  <c r="Y87" i="12" s="1"/>
  <c r="U86" i="12"/>
  <c r="N86" i="12"/>
  <c r="Z86" i="12" s="1"/>
  <c r="U85" i="12"/>
  <c r="N85" i="12"/>
  <c r="W85" i="12" s="1"/>
  <c r="U84" i="12"/>
  <c r="N84" i="12"/>
  <c r="Z84" i="12" s="1"/>
  <c r="U83" i="12"/>
  <c r="N83" i="12"/>
  <c r="Y83" i="12" s="1"/>
  <c r="U82" i="12"/>
  <c r="N82" i="12"/>
  <c r="Y82" i="12" s="1"/>
  <c r="U81" i="12"/>
  <c r="N81" i="12"/>
  <c r="X81" i="12" s="1"/>
  <c r="U80" i="12"/>
  <c r="N80" i="12"/>
  <c r="Z80" i="12" s="1"/>
  <c r="U79" i="12"/>
  <c r="N79" i="12"/>
  <c r="X79" i="12" s="1"/>
  <c r="U78" i="12"/>
  <c r="N78" i="12"/>
  <c r="Z78" i="12" s="1"/>
  <c r="U77" i="12"/>
  <c r="N77" i="12"/>
  <c r="U76" i="12"/>
  <c r="N76" i="12"/>
  <c r="Y76" i="12" s="1"/>
  <c r="U75" i="12"/>
  <c r="N75" i="12"/>
  <c r="AA75" i="12" s="1"/>
  <c r="U74" i="12"/>
  <c r="N74" i="12"/>
  <c r="Y74" i="12" s="1"/>
  <c r="U73" i="12"/>
  <c r="N73" i="12"/>
  <c r="X73" i="12" s="1"/>
  <c r="U72" i="12"/>
  <c r="N72" i="12"/>
  <c r="Z72" i="12" s="1"/>
  <c r="U71" i="12"/>
  <c r="N71" i="12"/>
  <c r="W71" i="12" s="1"/>
  <c r="U70" i="12"/>
  <c r="N70" i="12"/>
  <c r="Z70" i="12" s="1"/>
  <c r="Z69" i="12"/>
  <c r="U69" i="12"/>
  <c r="N69" i="12"/>
  <c r="AA69" i="12" s="1"/>
  <c r="U68" i="12"/>
  <c r="N68" i="12"/>
  <c r="Z68" i="12" s="1"/>
  <c r="U67" i="12"/>
  <c r="N67" i="12"/>
  <c r="X67" i="12" s="1"/>
  <c r="U66" i="12"/>
  <c r="N66" i="12"/>
  <c r="Y66" i="12" s="1"/>
  <c r="U65" i="12"/>
  <c r="N65" i="12"/>
  <c r="X65" i="12" s="1"/>
  <c r="U64" i="12"/>
  <c r="N64" i="12"/>
  <c r="Y64" i="12" s="1"/>
  <c r="U63" i="12"/>
  <c r="N63" i="12"/>
  <c r="X63" i="12" s="1"/>
  <c r="U62" i="12"/>
  <c r="N62" i="12"/>
  <c r="Z62" i="12" s="1"/>
  <c r="U61" i="12"/>
  <c r="N61" i="12"/>
  <c r="AA61" i="12" s="1"/>
  <c r="U60" i="12"/>
  <c r="N60" i="12"/>
  <c r="Z60" i="12" s="1"/>
  <c r="U59" i="12"/>
  <c r="N59" i="12"/>
  <c r="AA59" i="12" s="1"/>
  <c r="U58" i="12"/>
  <c r="N58" i="12"/>
  <c r="Y58" i="12" s="1"/>
  <c r="Y57" i="12"/>
  <c r="U57" i="12"/>
  <c r="N57" i="12"/>
  <c r="X57" i="12" s="1"/>
  <c r="U56" i="12"/>
  <c r="N56" i="12"/>
  <c r="Y56" i="12" s="1"/>
  <c r="U55" i="12"/>
  <c r="N55" i="12"/>
  <c r="Y55" i="12" s="1"/>
  <c r="W54" i="12"/>
  <c r="U54" i="12"/>
  <c r="N54" i="12"/>
  <c r="Z54" i="12" s="1"/>
  <c r="U53" i="12"/>
  <c r="N53" i="12"/>
  <c r="Z53" i="12" s="1"/>
  <c r="U52" i="12"/>
  <c r="N52" i="12"/>
  <c r="Y52" i="12" s="1"/>
  <c r="U51" i="12"/>
  <c r="N51" i="12"/>
  <c r="X51" i="12" s="1"/>
  <c r="Z50" i="12"/>
  <c r="X50" i="12"/>
  <c r="W50" i="12"/>
  <c r="U50" i="12"/>
  <c r="N50" i="12"/>
  <c r="Y50" i="12" s="1"/>
  <c r="U49" i="12"/>
  <c r="N49" i="12"/>
  <c r="X49" i="12" s="1"/>
  <c r="U48" i="12"/>
  <c r="N48" i="12"/>
  <c r="Y48" i="12" s="1"/>
  <c r="Y47" i="12"/>
  <c r="X47" i="12"/>
  <c r="U47" i="12"/>
  <c r="N47" i="12"/>
  <c r="W47" i="12" s="1"/>
  <c r="U46" i="12"/>
  <c r="N46" i="12"/>
  <c r="Z46" i="12" s="1"/>
  <c r="U45" i="12"/>
  <c r="N45" i="12"/>
  <c r="Z45" i="12" s="1"/>
  <c r="U44" i="12"/>
  <c r="N44" i="12"/>
  <c r="Z44" i="12" s="1"/>
  <c r="AA43" i="12"/>
  <c r="U43" i="12"/>
  <c r="N43" i="12"/>
  <c r="X43" i="12" s="1"/>
  <c r="U42" i="12"/>
  <c r="N42" i="12"/>
  <c r="Y42" i="12" s="1"/>
  <c r="U41" i="12"/>
  <c r="N41" i="12"/>
  <c r="X41" i="12" s="1"/>
  <c r="Y40" i="12"/>
  <c r="U40" i="12"/>
  <c r="N40" i="12"/>
  <c r="U39" i="12"/>
  <c r="N39" i="12"/>
  <c r="X39" i="12" s="1"/>
  <c r="U38" i="12"/>
  <c r="N38" i="12"/>
  <c r="Z38" i="12" s="1"/>
  <c r="U37" i="12"/>
  <c r="N37" i="12"/>
  <c r="AA37" i="12" s="1"/>
  <c r="U36" i="12"/>
  <c r="N36" i="12"/>
  <c r="Y36" i="12" s="1"/>
  <c r="U35" i="12"/>
  <c r="N35" i="12"/>
  <c r="Y35" i="12" s="1"/>
  <c r="AA34" i="12"/>
  <c r="U34" i="12"/>
  <c r="N34" i="12"/>
  <c r="Y34" i="12" s="1"/>
  <c r="Z33" i="12"/>
  <c r="U33" i="12"/>
  <c r="N33" i="12"/>
  <c r="X33" i="12" s="1"/>
  <c r="U32" i="12"/>
  <c r="N32" i="12"/>
  <c r="X31" i="12"/>
  <c r="U31" i="12"/>
  <c r="N31" i="12"/>
  <c r="Y31" i="12" s="1"/>
  <c r="U30" i="12"/>
  <c r="N30" i="12"/>
  <c r="Z30" i="12" s="1"/>
  <c r="U29" i="12"/>
  <c r="N29" i="12"/>
  <c r="Z29" i="12" s="1"/>
  <c r="U28" i="12"/>
  <c r="N28" i="12"/>
  <c r="Y28" i="12" s="1"/>
  <c r="U27" i="12"/>
  <c r="N27" i="12"/>
  <c r="X27" i="12" s="1"/>
  <c r="U26" i="12"/>
  <c r="N26" i="12"/>
  <c r="Y26" i="12" s="1"/>
  <c r="AA25" i="12"/>
  <c r="Z25" i="12"/>
  <c r="U25" i="12"/>
  <c r="N25" i="12"/>
  <c r="X25" i="12" s="1"/>
  <c r="U24" i="12"/>
  <c r="N24" i="12"/>
  <c r="U23" i="12"/>
  <c r="N23" i="12"/>
  <c r="W23" i="12" s="1"/>
  <c r="U22" i="12"/>
  <c r="N22" i="12"/>
  <c r="Z22" i="12" s="1"/>
  <c r="U21" i="12"/>
  <c r="N21" i="12"/>
  <c r="U20" i="12"/>
  <c r="N20" i="12"/>
  <c r="U19" i="12"/>
  <c r="N19" i="12"/>
  <c r="Y19" i="12" s="1"/>
  <c r="U18" i="12"/>
  <c r="N18" i="12"/>
  <c r="Y18" i="12" s="1"/>
  <c r="Y17" i="12"/>
  <c r="U17" i="12"/>
  <c r="N17" i="12"/>
  <c r="X17" i="12" s="1"/>
  <c r="U16" i="12"/>
  <c r="N16" i="12"/>
  <c r="Z16" i="12" s="1"/>
  <c r="U15" i="12"/>
  <c r="N15" i="12"/>
  <c r="X15" i="12" s="1"/>
  <c r="U14" i="12"/>
  <c r="N14" i="12"/>
  <c r="Z14" i="12" s="1"/>
  <c r="U13" i="12"/>
  <c r="N13" i="12"/>
  <c r="Z13" i="12" s="1"/>
  <c r="U12" i="12"/>
  <c r="N12" i="12"/>
  <c r="Y12" i="12" s="1"/>
  <c r="U11" i="12"/>
  <c r="N11" i="12"/>
  <c r="AA11" i="12" s="1"/>
  <c r="U10" i="12"/>
  <c r="N10" i="12"/>
  <c r="Y10" i="12" s="1"/>
  <c r="U9" i="12"/>
  <c r="N9" i="12"/>
  <c r="X9" i="12" s="1"/>
  <c r="X8" i="12"/>
  <c r="U8" i="12"/>
  <c r="N8" i="12"/>
  <c r="Z8" i="12" s="1"/>
  <c r="X23" i="12" l="1"/>
  <c r="W42" i="12"/>
  <c r="AA62" i="12"/>
  <c r="X82" i="12"/>
  <c r="W89" i="12"/>
  <c r="Y23" i="12"/>
  <c r="X42" i="12"/>
  <c r="W66" i="12"/>
  <c r="Z82" i="12"/>
  <c r="Y89" i="12"/>
  <c r="AA98" i="12"/>
  <c r="D6" i="12"/>
  <c r="Y8" i="12"/>
  <c r="X11" i="12"/>
  <c r="AA51" i="12"/>
  <c r="X54" i="12"/>
  <c r="Z57" i="12"/>
  <c r="AA66" i="12"/>
  <c r="Y81" i="12"/>
  <c r="W97" i="12"/>
  <c r="Z42" i="12"/>
  <c r="X66" i="12"/>
  <c r="Z89" i="12"/>
  <c r="AA42" i="12"/>
  <c r="Z66" i="12"/>
  <c r="Y11" i="12"/>
  <c r="AA18" i="12"/>
  <c r="W31" i="12"/>
  <c r="AA57" i="12"/>
  <c r="Z81" i="12"/>
  <c r="AA90" i="12"/>
  <c r="Y97" i="12"/>
  <c r="X107" i="12"/>
  <c r="AA107" i="12"/>
  <c r="AA33" i="12"/>
  <c r="W17" i="12"/>
  <c r="AA54" i="12"/>
  <c r="AA74" i="12"/>
  <c r="W81" i="12"/>
  <c r="AA82" i="12"/>
  <c r="Z90" i="12"/>
  <c r="Z98" i="12"/>
  <c r="AA17" i="12"/>
  <c r="W38" i="12"/>
  <c r="AA45" i="12"/>
  <c r="Y73" i="12"/>
  <c r="AA81" i="12"/>
  <c r="W87" i="12"/>
  <c r="AA9" i="12"/>
  <c r="AA50" i="12"/>
  <c r="Z17" i="12"/>
  <c r="X38" i="12"/>
  <c r="AA58" i="12"/>
  <c r="Z73" i="12"/>
  <c r="X87" i="12"/>
  <c r="W95" i="12"/>
  <c r="Y33" i="12"/>
  <c r="AA38" i="12"/>
  <c r="Y43" i="12"/>
  <c r="X62" i="12"/>
  <c r="AA67" i="12"/>
  <c r="AA73" i="12"/>
  <c r="Z76" i="12"/>
  <c r="AA89" i="12"/>
  <c r="X95" i="12"/>
  <c r="AA97" i="12"/>
  <c r="W22" i="12"/>
  <c r="X56" i="12"/>
  <c r="W61" i="12"/>
  <c r="W65" i="12"/>
  <c r="W10" i="12"/>
  <c r="W14" i="12"/>
  <c r="X16" i="12"/>
  <c r="W70" i="12"/>
  <c r="J5" i="12"/>
  <c r="AA10" i="12"/>
  <c r="Z12" i="12"/>
  <c r="X18" i="12"/>
  <c r="W25" i="12"/>
  <c r="X34" i="12"/>
  <c r="AA41" i="12"/>
  <c r="W45" i="12"/>
  <c r="AA53" i="12"/>
  <c r="X58" i="12"/>
  <c r="Z9" i="12"/>
  <c r="Z115" i="12" s="1"/>
  <c r="Z18" i="12"/>
  <c r="Y25" i="12"/>
  <c r="AA26" i="12"/>
  <c r="W33" i="12"/>
  <c r="Z34" i="12"/>
  <c r="Z36" i="12"/>
  <c r="Z48" i="12"/>
  <c r="Y51" i="12"/>
  <c r="X55" i="12"/>
  <c r="W57" i="12"/>
  <c r="Z58" i="12"/>
  <c r="W62" i="12"/>
  <c r="Z64" i="12"/>
  <c r="Y67" i="12"/>
  <c r="W69" i="12"/>
  <c r="W73" i="12"/>
  <c r="Z74" i="12"/>
  <c r="AA78" i="12"/>
  <c r="W82" i="12"/>
  <c r="X90" i="12"/>
  <c r="X98" i="12"/>
  <c r="Z107" i="12"/>
  <c r="J4" i="12"/>
  <c r="W30" i="12"/>
  <c r="Z37" i="12"/>
  <c r="W41" i="12"/>
  <c r="W46" i="12"/>
  <c r="Z61" i="12"/>
  <c r="Y65" i="12"/>
  <c r="Y68" i="12"/>
  <c r="Y72" i="12"/>
  <c r="X75" i="12"/>
  <c r="X10" i="12"/>
  <c r="X115" i="12" s="1"/>
  <c r="X14" i="12"/>
  <c r="Y41" i="12"/>
  <c r="Z56" i="12"/>
  <c r="X94" i="12"/>
  <c r="W9" i="12"/>
  <c r="Z10" i="12"/>
  <c r="AA14" i="12"/>
  <c r="W18" i="12"/>
  <c r="Z20" i="12"/>
  <c r="X26" i="12"/>
  <c r="Z28" i="12"/>
  <c r="AA30" i="12"/>
  <c r="W34" i="12"/>
  <c r="Y39" i="12"/>
  <c r="Z41" i="12"/>
  <c r="AA46" i="12"/>
  <c r="X48" i="12"/>
  <c r="AA49" i="12"/>
  <c r="W58" i="12"/>
  <c r="AA65" i="12"/>
  <c r="AA70" i="12"/>
  <c r="W74" i="12"/>
  <c r="W78" i="12"/>
  <c r="X80" i="12"/>
  <c r="X86" i="12"/>
  <c r="AA94" i="12"/>
  <c r="Y96" i="12"/>
  <c r="AA99" i="12"/>
  <c r="X102" i="12"/>
  <c r="W107" i="12"/>
  <c r="X108" i="12"/>
  <c r="W110" i="12"/>
  <c r="W37" i="12"/>
  <c r="W49" i="12"/>
  <c r="X72" i="12"/>
  <c r="X22" i="12"/>
  <c r="Y49" i="12"/>
  <c r="Y59" i="12"/>
  <c r="W94" i="12"/>
  <c r="Y16" i="12"/>
  <c r="AA22" i="12"/>
  <c r="W26" i="12"/>
  <c r="X30" i="12"/>
  <c r="X46" i="12"/>
  <c r="Z49" i="12"/>
  <c r="Z65" i="12"/>
  <c r="X70" i="12"/>
  <c r="Y75" i="12"/>
  <c r="W86" i="12"/>
  <c r="X99" i="12"/>
  <c r="W102" i="12"/>
  <c r="Y9" i="12"/>
  <c r="Z26" i="12"/>
  <c r="W55" i="12"/>
  <c r="X74" i="12"/>
  <c r="X78" i="12"/>
  <c r="Y80" i="12"/>
  <c r="AA86" i="12"/>
  <c r="W90" i="12"/>
  <c r="W98" i="12"/>
  <c r="AA102" i="12"/>
  <c r="Y107" i="12"/>
  <c r="AA112" i="12"/>
  <c r="Z112" i="12"/>
  <c r="X112" i="12"/>
  <c r="W112" i="12"/>
  <c r="Y112" i="12"/>
  <c r="W24" i="12"/>
  <c r="AA24" i="12"/>
  <c r="Y77" i="12"/>
  <c r="X77" i="12"/>
  <c r="Y21" i="12"/>
  <c r="X21" i="12"/>
  <c r="W32" i="12"/>
  <c r="AA32" i="12"/>
  <c r="AA93" i="12"/>
  <c r="Y93" i="12"/>
  <c r="X93" i="12"/>
  <c r="AA15" i="12"/>
  <c r="Z15" i="12"/>
  <c r="X24" i="12"/>
  <c r="AA60" i="12"/>
  <c r="X60" i="12"/>
  <c r="W60" i="12"/>
  <c r="W77" i="12"/>
  <c r="X88" i="12"/>
  <c r="X105" i="12"/>
  <c r="W21" i="12"/>
  <c r="AA23" i="12"/>
  <c r="Z23" i="12"/>
  <c r="Y24" i="12"/>
  <c r="X32" i="12"/>
  <c r="Y37" i="12"/>
  <c r="X37" i="12"/>
  <c r="Z43" i="12"/>
  <c r="W43" i="12"/>
  <c r="W48" i="12"/>
  <c r="AA48" i="12"/>
  <c r="AA68" i="12"/>
  <c r="X68" i="12"/>
  <c r="W68" i="12"/>
  <c r="Z77" i="12"/>
  <c r="AA87" i="12"/>
  <c r="Z87" i="12"/>
  <c r="Y88" i="12"/>
  <c r="W93" i="12"/>
  <c r="Y13" i="12"/>
  <c r="X13" i="12"/>
  <c r="Z19" i="12"/>
  <c r="W19" i="12"/>
  <c r="AA44" i="12"/>
  <c r="X44" i="12"/>
  <c r="W44" i="12"/>
  <c r="AA63" i="12"/>
  <c r="Z63" i="12"/>
  <c r="Z83" i="12"/>
  <c r="W83" i="12"/>
  <c r="Z105" i="12"/>
  <c r="Y105" i="12"/>
  <c r="W105" i="12"/>
  <c r="Z27" i="12"/>
  <c r="W27" i="12"/>
  <c r="AA52" i="12"/>
  <c r="X52" i="12"/>
  <c r="W52" i="12"/>
  <c r="AA71" i="12"/>
  <c r="Z71" i="12"/>
  <c r="Y85" i="12"/>
  <c r="X85" i="12"/>
  <c r="Z91" i="12"/>
  <c r="W91" i="12"/>
  <c r="AA109" i="12"/>
  <c r="Y109" i="12"/>
  <c r="Z109" i="12"/>
  <c r="W13" i="12"/>
  <c r="X19" i="12"/>
  <c r="Y29" i="12"/>
  <c r="X29" i="12"/>
  <c r="Z35" i="12"/>
  <c r="W35" i="12"/>
  <c r="W40" i="12"/>
  <c r="AA40" i="12"/>
  <c r="Y44" i="12"/>
  <c r="W63" i="12"/>
  <c r="AA79" i="12"/>
  <c r="Z79" i="12"/>
  <c r="X83" i="12"/>
  <c r="AA100" i="12"/>
  <c r="Z100" i="12"/>
  <c r="X100" i="12"/>
  <c r="W100" i="12"/>
  <c r="Y114" i="12"/>
  <c r="X114" i="12"/>
  <c r="AA12" i="12"/>
  <c r="X12" i="12"/>
  <c r="W12" i="12"/>
  <c r="N6" i="12"/>
  <c r="AA13" i="12"/>
  <c r="W15" i="12"/>
  <c r="AA19" i="12"/>
  <c r="Z21" i="12"/>
  <c r="Z24" i="12"/>
  <c r="Y27" i="12"/>
  <c r="W29" i="12"/>
  <c r="AA31" i="12"/>
  <c r="Z31" i="12"/>
  <c r="Y32" i="12"/>
  <c r="X35" i="12"/>
  <c r="X40" i="12"/>
  <c r="Y45" i="12"/>
  <c r="X45" i="12"/>
  <c r="Z51" i="12"/>
  <c r="W51" i="12"/>
  <c r="Z52" i="12"/>
  <c r="W56" i="12"/>
  <c r="AA56" i="12"/>
  <c r="Y60" i="12"/>
  <c r="Y63" i="12"/>
  <c r="X71" i="12"/>
  <c r="AA76" i="12"/>
  <c r="X76" i="12"/>
  <c r="W76" i="12"/>
  <c r="AA77" i="12"/>
  <c r="W79" i="12"/>
  <c r="AA83" i="12"/>
  <c r="Z85" i="12"/>
  <c r="Y91" i="12"/>
  <c r="Z93" i="12"/>
  <c r="Y100" i="12"/>
  <c r="AA104" i="12"/>
  <c r="Z104" i="12"/>
  <c r="X104" i="12"/>
  <c r="W104" i="12"/>
  <c r="W108" i="12"/>
  <c r="Z108" i="12"/>
  <c r="AA108" i="12"/>
  <c r="X109" i="12"/>
  <c r="AA111" i="12"/>
  <c r="Y111" i="12"/>
  <c r="W111" i="12"/>
  <c r="X111" i="12"/>
  <c r="W114" i="12"/>
  <c r="W88" i="12"/>
  <c r="AA88" i="12"/>
  <c r="AA20" i="12"/>
  <c r="X20" i="12"/>
  <c r="W20" i="12"/>
  <c r="AA21" i="12"/>
  <c r="AA27" i="12"/>
  <c r="Z32" i="12"/>
  <c r="AA39" i="12"/>
  <c r="Z39" i="12"/>
  <c r="Y53" i="12"/>
  <c r="X53" i="12"/>
  <c r="Z59" i="12"/>
  <c r="W59" i="12"/>
  <c r="W64" i="12"/>
  <c r="AA64" i="12"/>
  <c r="Y71" i="12"/>
  <c r="AA84" i="12"/>
  <c r="X84" i="12"/>
  <c r="W84" i="12"/>
  <c r="AA85" i="12"/>
  <c r="AA91" i="12"/>
  <c r="AA101" i="12"/>
  <c r="Y101" i="12"/>
  <c r="W101" i="12"/>
  <c r="X101" i="12"/>
  <c r="Y106" i="12"/>
  <c r="X106" i="12"/>
  <c r="Z113" i="12"/>
  <c r="Y113" i="12"/>
  <c r="W113" i="12"/>
  <c r="W8" i="12"/>
  <c r="AA8" i="12"/>
  <c r="Y15" i="12"/>
  <c r="AA28" i="12"/>
  <c r="X28" i="12"/>
  <c r="W28" i="12"/>
  <c r="AA29" i="12"/>
  <c r="AA35" i="12"/>
  <c r="Z40" i="12"/>
  <c r="AA47" i="12"/>
  <c r="Z47" i="12"/>
  <c r="Y61" i="12"/>
  <c r="X61" i="12"/>
  <c r="Z67" i="12"/>
  <c r="W67" i="12"/>
  <c r="W72" i="12"/>
  <c r="AA72" i="12"/>
  <c r="Y79" i="12"/>
  <c r="AA92" i="12"/>
  <c r="Z92" i="12"/>
  <c r="X92" i="12"/>
  <c r="W92" i="12"/>
  <c r="W96" i="12"/>
  <c r="Z96" i="12"/>
  <c r="AA96" i="12"/>
  <c r="Z110" i="12"/>
  <c r="X110" i="12"/>
  <c r="Y110" i="12"/>
  <c r="AA114" i="12"/>
  <c r="U6" i="12"/>
  <c r="Z11" i="12"/>
  <c r="W11" i="12"/>
  <c r="W16" i="12"/>
  <c r="AA16" i="12"/>
  <c r="Y20" i="12"/>
  <c r="AA36" i="12"/>
  <c r="X36" i="12"/>
  <c r="W36" i="12"/>
  <c r="W39" i="12"/>
  <c r="W53" i="12"/>
  <c r="AA55" i="12"/>
  <c r="Z55" i="12"/>
  <c r="X59" i="12"/>
  <c r="X64" i="12"/>
  <c r="Y69" i="12"/>
  <c r="X69" i="12"/>
  <c r="Z75" i="12"/>
  <c r="W75" i="12"/>
  <c r="W80" i="12"/>
  <c r="AA80" i="12"/>
  <c r="Y84" i="12"/>
  <c r="Z101" i="12"/>
  <c r="AA103" i="12"/>
  <c r="Y103" i="12"/>
  <c r="W103" i="12"/>
  <c r="X103" i="12"/>
  <c r="W106" i="12"/>
  <c r="X113" i="12"/>
  <c r="Y14" i="12"/>
  <c r="Y22" i="12"/>
  <c r="Y30" i="12"/>
  <c r="Y38" i="12"/>
  <c r="Y46" i="12"/>
  <c r="Y54" i="12"/>
  <c r="Y62" i="12"/>
  <c r="Y70" i="12"/>
  <c r="Y78" i="12"/>
  <c r="Y86" i="12"/>
  <c r="Y94" i="12"/>
  <c r="Z95" i="12"/>
  <c r="Y102" i="12"/>
  <c r="Y95" i="12"/>
  <c r="W99" i="12"/>
  <c r="Y99" i="12"/>
  <c r="C7" i="11"/>
  <c r="C9" i="11"/>
  <c r="Y115" i="12" l="1"/>
  <c r="AA115" i="12"/>
  <c r="W115" i="12"/>
  <c r="W116" i="12" s="1"/>
  <c r="N9" i="5"/>
  <c r="W9" i="5" s="1"/>
  <c r="N10" i="5"/>
  <c r="Z10" i="5" s="1"/>
  <c r="W10" i="5"/>
  <c r="N25" i="5"/>
  <c r="X25" i="5" s="1"/>
  <c r="N26" i="5"/>
  <c r="W26" i="5"/>
  <c r="N8" i="5"/>
  <c r="W8" i="5" s="1"/>
  <c r="N11" i="5"/>
  <c r="W11" i="5" s="1"/>
  <c r="D34" i="9" s="1"/>
  <c r="N12" i="5"/>
  <c r="W12" i="5" s="1"/>
  <c r="N13" i="5"/>
  <c r="W13" i="5" s="1"/>
  <c r="N14" i="5"/>
  <c r="W14" i="5" s="1"/>
  <c r="N15" i="5"/>
  <c r="AA15" i="5" s="1"/>
  <c r="N16" i="5"/>
  <c r="X16" i="5" s="1"/>
  <c r="W16" i="5"/>
  <c r="N17" i="5"/>
  <c r="Y17" i="5" s="1"/>
  <c r="N18" i="5"/>
  <c r="W18" i="5" s="1"/>
  <c r="N19" i="5"/>
  <c r="X19" i="5" s="1"/>
  <c r="E39" i="9" s="1"/>
  <c r="W19" i="5"/>
  <c r="D39" i="9" s="1"/>
  <c r="N20" i="5"/>
  <c r="X20" i="5" s="1"/>
  <c r="N21" i="5"/>
  <c r="W21" i="5" s="1"/>
  <c r="N22" i="5"/>
  <c r="W22" i="5" s="1"/>
  <c r="N23" i="5"/>
  <c r="AA23" i="5" s="1"/>
  <c r="N24" i="5"/>
  <c r="N27" i="5"/>
  <c r="Z27" i="5" s="1"/>
  <c r="N28" i="5"/>
  <c r="W28" i="5" s="1"/>
  <c r="N29" i="5"/>
  <c r="X29" i="5" s="1"/>
  <c r="N30" i="5"/>
  <c r="X30" i="5" s="1"/>
  <c r="N31" i="5"/>
  <c r="Z31" i="5" s="1"/>
  <c r="W31" i="5"/>
  <c r="N32" i="5"/>
  <c r="W32" i="5" s="1"/>
  <c r="N33" i="5"/>
  <c r="Z33" i="5" s="1"/>
  <c r="W33" i="5"/>
  <c r="N34" i="5"/>
  <c r="X34" i="5" s="1"/>
  <c r="N35" i="5"/>
  <c r="Z35" i="5" s="1"/>
  <c r="N36" i="5"/>
  <c r="W36" i="5" s="1"/>
  <c r="N37" i="5"/>
  <c r="X37" i="5" s="1"/>
  <c r="N38" i="5"/>
  <c r="X38" i="5" s="1"/>
  <c r="W38" i="5"/>
  <c r="N39" i="5"/>
  <c r="W39" i="5"/>
  <c r="N40" i="5"/>
  <c r="W40" i="5" s="1"/>
  <c r="N41" i="5"/>
  <c r="Z41" i="5" s="1"/>
  <c r="W41" i="5"/>
  <c r="N42" i="5"/>
  <c r="W42" i="5" s="1"/>
  <c r="N43" i="5"/>
  <c r="Z43" i="5" s="1"/>
  <c r="W43" i="5"/>
  <c r="N44" i="5"/>
  <c r="W44" i="5" s="1"/>
  <c r="N45" i="5"/>
  <c r="X45" i="5" s="1"/>
  <c r="N46" i="5"/>
  <c r="X46" i="5" s="1"/>
  <c r="N47" i="5"/>
  <c r="W47" i="5" s="1"/>
  <c r="N48" i="5"/>
  <c r="W48" i="5" s="1"/>
  <c r="N49" i="5"/>
  <c r="Z49" i="5" s="1"/>
  <c r="W49" i="5"/>
  <c r="N50" i="5"/>
  <c r="X50" i="5" s="1"/>
  <c r="W50" i="5"/>
  <c r="N51" i="5"/>
  <c r="Z51" i="5" s="1"/>
  <c r="N52" i="5"/>
  <c r="W52" i="5" s="1"/>
  <c r="N53" i="5"/>
  <c r="Y53" i="5" s="1"/>
  <c r="W53" i="5"/>
  <c r="N54" i="5"/>
  <c r="X54" i="5" s="1"/>
  <c r="N55" i="5"/>
  <c r="W55" i="5" s="1"/>
  <c r="N56" i="5"/>
  <c r="W56" i="5" s="1"/>
  <c r="N57" i="5"/>
  <c r="Z57" i="5" s="1"/>
  <c r="N58" i="5"/>
  <c r="N59" i="5"/>
  <c r="Z59" i="5" s="1"/>
  <c r="W59" i="5"/>
  <c r="N60" i="5"/>
  <c r="W60" i="5" s="1"/>
  <c r="N61" i="5"/>
  <c r="Z61" i="5" s="1"/>
  <c r="W61" i="5"/>
  <c r="N62" i="5"/>
  <c r="W62" i="5" s="1"/>
  <c r="N63" i="5"/>
  <c r="AA63" i="5" s="1"/>
  <c r="N64" i="5"/>
  <c r="W64" i="5" s="1"/>
  <c r="N65" i="5"/>
  <c r="AA65" i="5" s="1"/>
  <c r="W65" i="5"/>
  <c r="N66" i="5"/>
  <c r="AA66" i="5" s="1"/>
  <c r="N67" i="5"/>
  <c r="N68" i="5"/>
  <c r="W68" i="5" s="1"/>
  <c r="N69" i="5"/>
  <c r="X69" i="5" s="1"/>
  <c r="N70" i="5"/>
  <c r="Z70" i="5" s="1"/>
  <c r="W70" i="5"/>
  <c r="N71" i="5"/>
  <c r="W71" i="5" s="1"/>
  <c r="N72" i="5"/>
  <c r="W72" i="5" s="1"/>
  <c r="N73" i="5"/>
  <c r="Z73" i="5" s="1"/>
  <c r="W73" i="5"/>
  <c r="N74" i="5"/>
  <c r="W74" i="5" s="1"/>
  <c r="N75" i="5"/>
  <c r="W75" i="5"/>
  <c r="N76" i="5"/>
  <c r="W76" i="5" s="1"/>
  <c r="N77" i="5"/>
  <c r="W77" i="5" s="1"/>
  <c r="N78" i="5"/>
  <c r="W78" i="5" s="1"/>
  <c r="N79" i="5"/>
  <c r="AA79" i="5" s="1"/>
  <c r="N80" i="5"/>
  <c r="W80" i="5" s="1"/>
  <c r="N81" i="5"/>
  <c r="Z81" i="5" s="1"/>
  <c r="N82" i="5"/>
  <c r="X82" i="5" s="1"/>
  <c r="W82" i="5"/>
  <c r="N83" i="5"/>
  <c r="X83" i="5" s="1"/>
  <c r="N84" i="5"/>
  <c r="W84" i="5" s="1"/>
  <c r="N85" i="5"/>
  <c r="Y85" i="5" s="1"/>
  <c r="W85" i="5"/>
  <c r="N86" i="5"/>
  <c r="W86" i="5" s="1"/>
  <c r="N87" i="5"/>
  <c r="W87" i="5" s="1"/>
  <c r="N88" i="5"/>
  <c r="W88" i="5" s="1"/>
  <c r="N89" i="5"/>
  <c r="Z89" i="5" s="1"/>
  <c r="N90" i="5"/>
  <c r="N91" i="5"/>
  <c r="X91" i="5" s="1"/>
  <c r="N92" i="5"/>
  <c r="W92" i="5" s="1"/>
  <c r="N93" i="5"/>
  <c r="Y93" i="5" s="1"/>
  <c r="N94" i="5"/>
  <c r="Y94" i="5" s="1"/>
  <c r="N95" i="5"/>
  <c r="Z95" i="5" s="1"/>
  <c r="W95" i="5"/>
  <c r="N96" i="5"/>
  <c r="W96" i="5" s="1"/>
  <c r="N97" i="5"/>
  <c r="Z97" i="5" s="1"/>
  <c r="W97" i="5"/>
  <c r="N98" i="5"/>
  <c r="X98" i="5" s="1"/>
  <c r="N99" i="5"/>
  <c r="N100" i="5"/>
  <c r="W100" i="5" s="1"/>
  <c r="N101" i="5"/>
  <c r="AA101" i="5" s="1"/>
  <c r="N102" i="5"/>
  <c r="W102" i="5"/>
  <c r="N103" i="5"/>
  <c r="W103" i="5"/>
  <c r="N104" i="5"/>
  <c r="W104" i="5" s="1"/>
  <c r="N105" i="5"/>
  <c r="Z105" i="5" s="1"/>
  <c r="W105" i="5"/>
  <c r="N106" i="5"/>
  <c r="W106" i="5" s="1"/>
  <c r="N107" i="5"/>
  <c r="W107" i="5"/>
  <c r="N108" i="5"/>
  <c r="W108" i="5" s="1"/>
  <c r="N109" i="5"/>
  <c r="W109" i="5" s="1"/>
  <c r="N110" i="5"/>
  <c r="W110" i="5" s="1"/>
  <c r="N111" i="5"/>
  <c r="W111" i="5" s="1"/>
  <c r="N112" i="5"/>
  <c r="W112" i="5" s="1"/>
  <c r="N113" i="5"/>
  <c r="Z113" i="5" s="1"/>
  <c r="W113" i="5"/>
  <c r="N114" i="5"/>
  <c r="X114" i="5" s="1"/>
  <c r="W114" i="5"/>
  <c r="X9" i="5"/>
  <c r="X14" i="5"/>
  <c r="X18" i="5"/>
  <c r="X28" i="5"/>
  <c r="X33" i="5"/>
  <c r="X40" i="5"/>
  <c r="X41" i="5"/>
  <c r="X57" i="5"/>
  <c r="X68" i="5"/>
  <c r="X72" i="5"/>
  <c r="X81" i="5"/>
  <c r="X85" i="5"/>
  <c r="X92" i="5"/>
  <c r="X93" i="5"/>
  <c r="X96" i="5"/>
  <c r="X97" i="5"/>
  <c r="X104" i="5"/>
  <c r="X108" i="5"/>
  <c r="X109" i="5"/>
  <c r="X112" i="5"/>
  <c r="X113" i="5"/>
  <c r="Y9" i="5"/>
  <c r="Y18" i="5"/>
  <c r="Y27" i="5"/>
  <c r="Y28" i="5"/>
  <c r="Y32" i="5"/>
  <c r="Y33" i="5"/>
  <c r="Y38" i="5"/>
  <c r="Y40" i="5"/>
  <c r="Y41" i="5"/>
  <c r="Y45" i="5"/>
  <c r="Y52" i="5"/>
  <c r="Y61" i="5"/>
  <c r="Y68" i="5"/>
  <c r="Y70" i="5"/>
  <c r="Y72" i="5"/>
  <c r="Y73" i="5"/>
  <c r="Y81" i="5"/>
  <c r="Y84" i="5"/>
  <c r="Y86" i="5"/>
  <c r="Y96" i="5"/>
  <c r="Y97" i="5"/>
  <c r="Y102" i="5"/>
  <c r="Y104" i="5"/>
  <c r="Y109" i="5"/>
  <c r="Y113" i="5"/>
  <c r="Z9" i="5"/>
  <c r="Z18" i="5"/>
  <c r="Z19" i="5"/>
  <c r="G39" i="9" s="1"/>
  <c r="Z20" i="5"/>
  <c r="Z32" i="5"/>
  <c r="Z38" i="5"/>
  <c r="Z40" i="5"/>
  <c r="Z45" i="5"/>
  <c r="Z55" i="5"/>
  <c r="Z62" i="5"/>
  <c r="Z63" i="5"/>
  <c r="Z72" i="5"/>
  <c r="Z84" i="5"/>
  <c r="Z85" i="5"/>
  <c r="Z86" i="5"/>
  <c r="Z102" i="5"/>
  <c r="Z104" i="5"/>
  <c r="Z109" i="5"/>
  <c r="AA9" i="5"/>
  <c r="AA13" i="5"/>
  <c r="AA18" i="5"/>
  <c r="AA20" i="5"/>
  <c r="AA28" i="5"/>
  <c r="AA29" i="5"/>
  <c r="AA33" i="5"/>
  <c r="AA36" i="5"/>
  <c r="AA38" i="5"/>
  <c r="AA40" i="5"/>
  <c r="AA43" i="5"/>
  <c r="AA45" i="5"/>
  <c r="AA52" i="5"/>
  <c r="AA53" i="5"/>
  <c r="AA57" i="5"/>
  <c r="AA72" i="5"/>
  <c r="AA76" i="5"/>
  <c r="AA77" i="5"/>
  <c r="AA81" i="5"/>
  <c r="AA82" i="5"/>
  <c r="AA84" i="5"/>
  <c r="AA92" i="5"/>
  <c r="AA93" i="5"/>
  <c r="AA95" i="5"/>
  <c r="AA104" i="5"/>
  <c r="AA105" i="5"/>
  <c r="AA111" i="5"/>
  <c r="AA114" i="5"/>
  <c r="B7" i="9"/>
  <c r="C7" i="9"/>
  <c r="F7" i="9" s="1"/>
  <c r="D7" i="9"/>
  <c r="E7" i="9"/>
  <c r="D35" i="9"/>
  <c r="D38" i="9"/>
  <c r="D40" i="9"/>
  <c r="D41" i="9"/>
  <c r="D42" i="9"/>
  <c r="D43" i="9"/>
  <c r="D44" i="9"/>
  <c r="D45" i="9"/>
  <c r="D47" i="9"/>
  <c r="D49" i="9"/>
  <c r="E35" i="9"/>
  <c r="E38" i="9"/>
  <c r="E40" i="9"/>
  <c r="E41" i="9"/>
  <c r="E42" i="9"/>
  <c r="E43" i="9"/>
  <c r="E44" i="9"/>
  <c r="E45" i="9"/>
  <c r="E47" i="9"/>
  <c r="E49" i="9"/>
  <c r="F35" i="9"/>
  <c r="F38" i="9"/>
  <c r="F40" i="9"/>
  <c r="F41" i="9"/>
  <c r="F42" i="9"/>
  <c r="F43" i="9"/>
  <c r="F44" i="9"/>
  <c r="F45" i="9"/>
  <c r="F47" i="9"/>
  <c r="F49" i="9"/>
  <c r="G35" i="9"/>
  <c r="G38" i="9"/>
  <c r="G40" i="9"/>
  <c r="G41" i="9"/>
  <c r="G42" i="9"/>
  <c r="G43" i="9"/>
  <c r="G44" i="9"/>
  <c r="G45" i="9"/>
  <c r="G47" i="9"/>
  <c r="G49" i="9"/>
  <c r="H35" i="9"/>
  <c r="H38" i="9"/>
  <c r="H40" i="9"/>
  <c r="H41" i="9"/>
  <c r="H42" i="9"/>
  <c r="H43" i="9"/>
  <c r="H44" i="9"/>
  <c r="H45" i="9"/>
  <c r="H47" i="9"/>
  <c r="H49" i="9"/>
  <c r="M27" i="9"/>
  <c r="L27" i="9"/>
  <c r="K27" i="9"/>
  <c r="J27" i="9"/>
  <c r="M26" i="9"/>
  <c r="L26" i="9"/>
  <c r="K26" i="9"/>
  <c r="J26" i="9"/>
  <c r="N26" i="9" s="1"/>
  <c r="M25" i="9"/>
  <c r="L25" i="9"/>
  <c r="K25" i="9"/>
  <c r="J25" i="9"/>
  <c r="N25" i="9" s="1"/>
  <c r="M23" i="9"/>
  <c r="L23" i="9"/>
  <c r="K23" i="9"/>
  <c r="J23" i="9"/>
  <c r="K21" i="9"/>
  <c r="L21" i="9"/>
  <c r="M21" i="9"/>
  <c r="J21" i="9"/>
  <c r="M24" i="9"/>
  <c r="L24" i="9"/>
  <c r="K24" i="9"/>
  <c r="J24" i="9"/>
  <c r="M22" i="9"/>
  <c r="L22" i="9"/>
  <c r="K22" i="9"/>
  <c r="J22" i="9"/>
  <c r="K20" i="9"/>
  <c r="N20" i="9" s="1"/>
  <c r="L20" i="9"/>
  <c r="M20" i="9"/>
  <c r="J20" i="9"/>
  <c r="N27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F15" i="9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6" i="5"/>
  <c r="M106" i="5"/>
  <c r="M107" i="5"/>
  <c r="M108" i="5"/>
  <c r="M109" i="5"/>
  <c r="M110" i="5"/>
  <c r="M111" i="5"/>
  <c r="M112" i="5"/>
  <c r="M113" i="5"/>
  <c r="M114" i="5"/>
  <c r="M105" i="5"/>
  <c r="M104" i="5"/>
  <c r="M103" i="5"/>
  <c r="U8" i="5"/>
  <c r="I9" i="1"/>
  <c r="F9" i="1"/>
  <c r="G9" i="1"/>
  <c r="I10" i="1"/>
  <c r="F10" i="1"/>
  <c r="G10" i="1"/>
  <c r="I11" i="1"/>
  <c r="F11" i="1"/>
  <c r="G11" i="1"/>
  <c r="I12" i="1"/>
  <c r="F12" i="1"/>
  <c r="G12" i="1"/>
  <c r="I13" i="1"/>
  <c r="F13" i="1"/>
  <c r="G13" i="1"/>
  <c r="I14" i="1"/>
  <c r="F14" i="1"/>
  <c r="G14" i="1"/>
  <c r="I15" i="1"/>
  <c r="F15" i="1"/>
  <c r="G15" i="1"/>
  <c r="I16" i="1"/>
  <c r="F16" i="1"/>
  <c r="G16" i="1"/>
  <c r="I17" i="1"/>
  <c r="F17" i="1"/>
  <c r="G17" i="1"/>
  <c r="I18" i="1"/>
  <c r="F18" i="1"/>
  <c r="G18" i="1"/>
  <c r="I19" i="1"/>
  <c r="F19" i="1"/>
  <c r="G19" i="1"/>
  <c r="I20" i="1"/>
  <c r="F20" i="1"/>
  <c r="G20" i="1"/>
  <c r="I21" i="1"/>
  <c r="F21" i="1"/>
  <c r="G21" i="1"/>
  <c r="I22" i="1"/>
  <c r="F22" i="1"/>
  <c r="G22" i="1"/>
  <c r="I23" i="1"/>
  <c r="F23" i="1"/>
  <c r="G23" i="1"/>
  <c r="I24" i="1"/>
  <c r="F24" i="1"/>
  <c r="G24" i="1"/>
  <c r="I25" i="1"/>
  <c r="F25" i="1"/>
  <c r="G25" i="1"/>
  <c r="I26" i="1"/>
  <c r="F26" i="1"/>
  <c r="G26" i="1"/>
  <c r="I27" i="1"/>
  <c r="F27" i="1"/>
  <c r="G27" i="1"/>
  <c r="I28" i="1"/>
  <c r="F28" i="1"/>
  <c r="G28" i="1"/>
  <c r="I29" i="1"/>
  <c r="F29" i="1"/>
  <c r="G29" i="1"/>
  <c r="I30" i="1"/>
  <c r="F30" i="1"/>
  <c r="G30" i="1"/>
  <c r="I31" i="1"/>
  <c r="F31" i="1"/>
  <c r="G31" i="1"/>
  <c r="I32" i="1"/>
  <c r="F32" i="1"/>
  <c r="G32" i="1"/>
  <c r="I33" i="1"/>
  <c r="F33" i="1"/>
  <c r="G33" i="1"/>
  <c r="I34" i="1"/>
  <c r="F34" i="1"/>
  <c r="G34" i="1"/>
  <c r="I35" i="1"/>
  <c r="F35" i="1"/>
  <c r="G35" i="1"/>
  <c r="I36" i="1"/>
  <c r="F36" i="1"/>
  <c r="G36" i="1"/>
  <c r="I37" i="1"/>
  <c r="F37" i="1"/>
  <c r="G37" i="1"/>
  <c r="I38" i="1"/>
  <c r="F38" i="1"/>
  <c r="G38" i="1"/>
  <c r="I39" i="1"/>
  <c r="F39" i="1"/>
  <c r="G39" i="1"/>
  <c r="I40" i="1"/>
  <c r="F40" i="1"/>
  <c r="G40" i="1"/>
  <c r="I41" i="1"/>
  <c r="F41" i="1"/>
  <c r="G41" i="1"/>
  <c r="I42" i="1"/>
  <c r="F42" i="1"/>
  <c r="G42" i="1"/>
  <c r="I43" i="1"/>
  <c r="F43" i="1"/>
  <c r="G43" i="1"/>
  <c r="I44" i="1"/>
  <c r="F44" i="1"/>
  <c r="G44" i="1"/>
  <c r="I45" i="1"/>
  <c r="F45" i="1"/>
  <c r="G45" i="1"/>
  <c r="I46" i="1"/>
  <c r="F46" i="1"/>
  <c r="G46" i="1"/>
  <c r="I47" i="1"/>
  <c r="F47" i="1"/>
  <c r="G47" i="1"/>
  <c r="I48" i="1"/>
  <c r="F48" i="1"/>
  <c r="G48" i="1"/>
  <c r="I49" i="1"/>
  <c r="F49" i="1"/>
  <c r="G49" i="1"/>
  <c r="I50" i="1"/>
  <c r="F50" i="1"/>
  <c r="G50" i="1"/>
  <c r="I51" i="1"/>
  <c r="F51" i="1"/>
  <c r="G51" i="1"/>
  <c r="I52" i="1"/>
  <c r="F52" i="1"/>
  <c r="G52" i="1"/>
  <c r="I53" i="1"/>
  <c r="F53" i="1"/>
  <c r="G53" i="1"/>
  <c r="I54" i="1"/>
  <c r="F54" i="1"/>
  <c r="G54" i="1"/>
  <c r="I55" i="1"/>
  <c r="F55" i="1"/>
  <c r="G55" i="1"/>
  <c r="I56" i="1"/>
  <c r="F56" i="1"/>
  <c r="G56" i="1"/>
  <c r="I57" i="1"/>
  <c r="F57" i="1"/>
  <c r="G57" i="1"/>
  <c r="I58" i="1"/>
  <c r="F58" i="1"/>
  <c r="G58" i="1"/>
  <c r="I59" i="1"/>
  <c r="F59" i="1"/>
  <c r="G59" i="1"/>
  <c r="I60" i="1"/>
  <c r="F60" i="1"/>
  <c r="G60" i="1"/>
  <c r="I61" i="1"/>
  <c r="F61" i="1"/>
  <c r="G61" i="1"/>
  <c r="I62" i="1"/>
  <c r="F62" i="1"/>
  <c r="G62" i="1"/>
  <c r="I63" i="1"/>
  <c r="F63" i="1"/>
  <c r="G63" i="1"/>
  <c r="I64" i="1"/>
  <c r="F64" i="1"/>
  <c r="G64" i="1"/>
  <c r="I65" i="1"/>
  <c r="F65" i="1"/>
  <c r="G65" i="1"/>
  <c r="I66" i="1"/>
  <c r="F66" i="1"/>
  <c r="G66" i="1"/>
  <c r="I67" i="1"/>
  <c r="F67" i="1"/>
  <c r="G67" i="1"/>
  <c r="I68" i="1"/>
  <c r="F68" i="1"/>
  <c r="G68" i="1"/>
  <c r="I69" i="1"/>
  <c r="F69" i="1"/>
  <c r="G69" i="1"/>
  <c r="I70" i="1"/>
  <c r="F70" i="1"/>
  <c r="G70" i="1"/>
  <c r="I71" i="1"/>
  <c r="F71" i="1"/>
  <c r="G71" i="1"/>
  <c r="B9" i="4"/>
  <c r="Q10" i="7"/>
  <c r="Q11" i="7"/>
  <c r="Q12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G7" i="1"/>
  <c r="E24" i="2"/>
  <c r="E36" i="2" s="1"/>
  <c r="F24" i="2"/>
  <c r="F36" i="2" s="1"/>
  <c r="G24" i="2"/>
  <c r="G36" i="2" s="1"/>
  <c r="H24" i="2"/>
  <c r="H36" i="2" s="1"/>
  <c r="I24" i="2"/>
  <c r="I36" i="2" s="1"/>
  <c r="J16" i="1" s="1"/>
  <c r="K16" i="1" s="1"/>
  <c r="J24" i="2"/>
  <c r="J36" i="2" s="1"/>
  <c r="K24" i="2"/>
  <c r="K36" i="2" s="1"/>
  <c r="L24" i="2"/>
  <c r="L36" i="2" s="1"/>
  <c r="M24" i="2"/>
  <c r="M36" i="2" s="1"/>
  <c r="N24" i="2"/>
  <c r="N36" i="2" s="1"/>
  <c r="O24" i="2"/>
  <c r="O36" i="2" s="1"/>
  <c r="P24" i="2"/>
  <c r="P36" i="2" s="1"/>
  <c r="E25" i="2"/>
  <c r="E37" i="2" s="1"/>
  <c r="F25" i="2"/>
  <c r="F37" i="2" s="1"/>
  <c r="G25" i="2"/>
  <c r="G37" i="2" s="1"/>
  <c r="H25" i="2"/>
  <c r="H37" i="2" s="1"/>
  <c r="I25" i="2"/>
  <c r="I37" i="2" s="1"/>
  <c r="J25" i="2"/>
  <c r="J37" i="2" s="1"/>
  <c r="K25" i="2"/>
  <c r="K37" i="2" s="1"/>
  <c r="L25" i="2"/>
  <c r="L37" i="2" s="1"/>
  <c r="M25" i="2"/>
  <c r="M37" i="2" s="1"/>
  <c r="N25" i="2"/>
  <c r="N37" i="2" s="1"/>
  <c r="O25" i="2"/>
  <c r="O37" i="2" s="1"/>
  <c r="P25" i="2"/>
  <c r="P37" i="2" s="1"/>
  <c r="E26" i="2"/>
  <c r="E38" i="2" s="1"/>
  <c r="F26" i="2"/>
  <c r="F38" i="2" s="1"/>
  <c r="G26" i="2"/>
  <c r="G38" i="2" s="1"/>
  <c r="H26" i="2"/>
  <c r="H38" i="2" s="1"/>
  <c r="I26" i="2"/>
  <c r="I38" i="2" s="1"/>
  <c r="J26" i="2"/>
  <c r="J38" i="2" s="1"/>
  <c r="K26" i="2"/>
  <c r="K38" i="2" s="1"/>
  <c r="L26" i="2"/>
  <c r="L38" i="2" s="1"/>
  <c r="M26" i="2"/>
  <c r="M38" i="2" s="1"/>
  <c r="N26" i="2"/>
  <c r="N38" i="2" s="1"/>
  <c r="O26" i="2"/>
  <c r="O38" i="2" s="1"/>
  <c r="J26" i="1" s="1"/>
  <c r="K26" i="1" s="1"/>
  <c r="P26" i="2"/>
  <c r="P38" i="2" s="1"/>
  <c r="E27" i="2"/>
  <c r="E39" i="2" s="1"/>
  <c r="F27" i="2"/>
  <c r="F39" i="2" s="1"/>
  <c r="G27" i="2"/>
  <c r="G39" i="2" s="1"/>
  <c r="H27" i="2"/>
  <c r="H39" i="2" s="1"/>
  <c r="I27" i="2"/>
  <c r="I39" i="2" s="1"/>
  <c r="J27" i="2"/>
  <c r="J39" i="2" s="1"/>
  <c r="K27" i="2"/>
  <c r="K39" i="2" s="1"/>
  <c r="L27" i="2"/>
  <c r="L39" i="2" s="1"/>
  <c r="M27" i="2"/>
  <c r="M39" i="2" s="1"/>
  <c r="N27" i="2"/>
  <c r="N39" i="2" s="1"/>
  <c r="O27" i="2"/>
  <c r="O39" i="2" s="1"/>
  <c r="P27" i="2"/>
  <c r="P39" i="2" s="1"/>
  <c r="E28" i="2"/>
  <c r="E40" i="2" s="1"/>
  <c r="F28" i="2"/>
  <c r="F40" i="2" s="1"/>
  <c r="G28" i="2"/>
  <c r="G40" i="2" s="1"/>
  <c r="J33" i="1" s="1"/>
  <c r="K33" i="1" s="1"/>
  <c r="H28" i="2"/>
  <c r="H40" i="2" s="1"/>
  <c r="I28" i="2"/>
  <c r="I40" i="2" s="1"/>
  <c r="J37" i="1" s="1"/>
  <c r="K37" i="1" s="1"/>
  <c r="J28" i="2"/>
  <c r="J40" i="2" s="1"/>
  <c r="K28" i="2"/>
  <c r="K40" i="2" s="1"/>
  <c r="J38" i="1" s="1"/>
  <c r="K38" i="1" s="1"/>
  <c r="L28" i="2"/>
  <c r="L40" i="2" s="1"/>
  <c r="M28" i="2"/>
  <c r="M40" i="2" s="1"/>
  <c r="N28" i="2"/>
  <c r="N40" i="2" s="1"/>
  <c r="O28" i="2"/>
  <c r="O40" i="2" s="1"/>
  <c r="P28" i="2"/>
  <c r="P40" i="2" s="1"/>
  <c r="E29" i="2"/>
  <c r="E41" i="2" s="1"/>
  <c r="F29" i="2"/>
  <c r="F41" i="2" s="1"/>
  <c r="G29" i="2"/>
  <c r="G41" i="2" s="1"/>
  <c r="H29" i="2"/>
  <c r="H41" i="2" s="1"/>
  <c r="I29" i="2"/>
  <c r="I41" i="2" s="1"/>
  <c r="J29" i="2"/>
  <c r="J41" i="2" s="1"/>
  <c r="K29" i="2"/>
  <c r="K41" i="2" s="1"/>
  <c r="J55" i="1" s="1"/>
  <c r="K55" i="1" s="1"/>
  <c r="L29" i="2"/>
  <c r="L41" i="2" s="1"/>
  <c r="M29" i="2"/>
  <c r="M41" i="2" s="1"/>
  <c r="N29" i="2"/>
  <c r="N41" i="2" s="1"/>
  <c r="O29" i="2"/>
  <c r="O41" i="2" s="1"/>
  <c r="P29" i="2"/>
  <c r="P41" i="2" s="1"/>
  <c r="E30" i="2"/>
  <c r="E42" i="2" s="1"/>
  <c r="F30" i="2"/>
  <c r="F42" i="2" s="1"/>
  <c r="G30" i="2"/>
  <c r="G42" i="2" s="1"/>
  <c r="H30" i="2"/>
  <c r="H42" i="2" s="1"/>
  <c r="I30" i="2"/>
  <c r="I42" i="2" s="1"/>
  <c r="J30" i="2"/>
  <c r="J42" i="2" s="1"/>
  <c r="K30" i="2"/>
  <c r="K42" i="2" s="1"/>
  <c r="J39" i="1" s="1"/>
  <c r="K39" i="1" s="1"/>
  <c r="L30" i="2"/>
  <c r="L42" i="2" s="1"/>
  <c r="M30" i="2"/>
  <c r="M42" i="2" s="1"/>
  <c r="N30" i="2"/>
  <c r="N42" i="2" s="1"/>
  <c r="O30" i="2"/>
  <c r="O42" i="2" s="1"/>
  <c r="P30" i="2"/>
  <c r="P42" i="2" s="1"/>
  <c r="F23" i="2"/>
  <c r="F35" i="2" s="1"/>
  <c r="G23" i="2"/>
  <c r="G35" i="2" s="1"/>
  <c r="H23" i="2"/>
  <c r="H35" i="2" s="1"/>
  <c r="I23" i="2"/>
  <c r="I35" i="2" s="1"/>
  <c r="J23" i="2"/>
  <c r="J35" i="2" s="1"/>
  <c r="K23" i="2"/>
  <c r="K35" i="2" s="1"/>
  <c r="L23" i="2"/>
  <c r="L35" i="2" s="1"/>
  <c r="M23" i="2"/>
  <c r="M35" i="2" s="1"/>
  <c r="N23" i="2"/>
  <c r="N35" i="2" s="1"/>
  <c r="O23" i="2"/>
  <c r="O35" i="2" s="1"/>
  <c r="P23" i="2"/>
  <c r="P35" i="2" s="1"/>
  <c r="E23" i="2"/>
  <c r="E35" i="2" s="1"/>
  <c r="E19" i="2"/>
  <c r="F19" i="2"/>
  <c r="G19" i="2"/>
  <c r="H19" i="2"/>
  <c r="I19" i="2"/>
  <c r="J19" i="2"/>
  <c r="K19" i="2"/>
  <c r="L19" i="2"/>
  <c r="M19" i="2"/>
  <c r="N19" i="2"/>
  <c r="O19" i="2"/>
  <c r="P19" i="2"/>
  <c r="Q11" i="2"/>
  <c r="Q12" i="2"/>
  <c r="Q13" i="2"/>
  <c r="Q14" i="2"/>
  <c r="Q15" i="2"/>
  <c r="Q16" i="2"/>
  <c r="Q17" i="2"/>
  <c r="Q18" i="2"/>
  <c r="H9" i="3"/>
  <c r="H10" i="3"/>
  <c r="H11" i="3"/>
  <c r="H12" i="3"/>
  <c r="H13" i="3"/>
  <c r="H14" i="3"/>
  <c r="H15" i="3"/>
  <c r="H16" i="3"/>
  <c r="H17" i="3"/>
  <c r="H18" i="3"/>
  <c r="H19" i="3"/>
  <c r="H8" i="3"/>
  <c r="H20" i="3"/>
  <c r="G20" i="3"/>
  <c r="G9" i="3"/>
  <c r="G10" i="3"/>
  <c r="G11" i="3"/>
  <c r="G12" i="3"/>
  <c r="G13" i="3"/>
  <c r="G14" i="3"/>
  <c r="G15" i="3"/>
  <c r="G16" i="3"/>
  <c r="G17" i="3"/>
  <c r="G18" i="3"/>
  <c r="G19" i="3"/>
  <c r="G8" i="3"/>
  <c r="F7" i="1"/>
  <c r="I31" i="2" l="1"/>
  <c r="M31" i="2"/>
  <c r="Q28" i="2"/>
  <c r="E31" i="2"/>
  <c r="N24" i="9"/>
  <c r="N23" i="9"/>
  <c r="K28" i="9"/>
  <c r="L28" i="9"/>
  <c r="N22" i="9"/>
  <c r="N21" i="9"/>
  <c r="N28" i="9" s="1"/>
  <c r="M28" i="9"/>
  <c r="J28" i="9"/>
  <c r="X11" i="5"/>
  <c r="E34" i="9" s="1"/>
  <c r="AA109" i="5"/>
  <c r="AA74" i="5"/>
  <c r="AA11" i="5"/>
  <c r="H34" i="9" s="1"/>
  <c r="Z60" i="5"/>
  <c r="Y65" i="5"/>
  <c r="X65" i="5"/>
  <c r="X8" i="5"/>
  <c r="AA106" i="5"/>
  <c r="AA85" i="5"/>
  <c r="AA73" i="5"/>
  <c r="AA46" i="5"/>
  <c r="AA30" i="5"/>
  <c r="AA10" i="5"/>
  <c r="Z101" i="5"/>
  <c r="Z80" i="5"/>
  <c r="Z56" i="5"/>
  <c r="Z37" i="5"/>
  <c r="Z11" i="5"/>
  <c r="G34" i="9" s="1"/>
  <c r="Y100" i="5"/>
  <c r="Y80" i="5"/>
  <c r="Y62" i="5"/>
  <c r="Y14" i="5"/>
  <c r="X106" i="5"/>
  <c r="X84" i="5"/>
  <c r="X60" i="5"/>
  <c r="X32" i="5"/>
  <c r="E48" i="9" s="1"/>
  <c r="W98" i="5"/>
  <c r="W93" i="5"/>
  <c r="W69" i="5"/>
  <c r="W63" i="5"/>
  <c r="W45" i="5"/>
  <c r="W34" i="5"/>
  <c r="W29" i="5"/>
  <c r="Z100" i="5"/>
  <c r="Z77" i="5"/>
  <c r="Z36" i="5"/>
  <c r="Z8" i="5"/>
  <c r="Y77" i="5"/>
  <c r="Y11" i="5"/>
  <c r="F34" i="9" s="1"/>
  <c r="AA98" i="5"/>
  <c r="AA68" i="5"/>
  <c r="AA41" i="5"/>
  <c r="Z93" i="5"/>
  <c r="Z52" i="5"/>
  <c r="Z29" i="5"/>
  <c r="Y92" i="5"/>
  <c r="Y57" i="5"/>
  <c r="F48" i="9"/>
  <c r="X77" i="5"/>
  <c r="X52" i="5"/>
  <c r="E33" i="9" s="1"/>
  <c r="X17" i="5"/>
  <c r="F33" i="9"/>
  <c r="AA69" i="5"/>
  <c r="AA8" i="5"/>
  <c r="H33" i="9" s="1"/>
  <c r="Z53" i="5"/>
  <c r="Y76" i="5"/>
  <c r="Y60" i="5"/>
  <c r="Y8" i="5"/>
  <c r="X100" i="5"/>
  <c r="X80" i="5"/>
  <c r="X53" i="5"/>
  <c r="AA97" i="5"/>
  <c r="AA80" i="5"/>
  <c r="AA60" i="5"/>
  <c r="AA19" i="5"/>
  <c r="H39" i="9" s="1"/>
  <c r="Z111" i="5"/>
  <c r="Z92" i="5"/>
  <c r="Z64" i="5"/>
  <c r="Z48" i="5"/>
  <c r="Z28" i="5"/>
  <c r="Y112" i="5"/>
  <c r="Y88" i="5"/>
  <c r="Y56" i="5"/>
  <c r="Y29" i="5"/>
  <c r="X73" i="5"/>
  <c r="W83" i="5"/>
  <c r="W17" i="5"/>
  <c r="B9" i="9" s="1"/>
  <c r="N6" i="5"/>
  <c r="Y37" i="5"/>
  <c r="X66" i="5"/>
  <c r="U6" i="5"/>
  <c r="AA112" i="5"/>
  <c r="AA100" i="5"/>
  <c r="AA88" i="5"/>
  <c r="AA48" i="5"/>
  <c r="AA37" i="5"/>
  <c r="Z88" i="5"/>
  <c r="Z30" i="5"/>
  <c r="Z13" i="5"/>
  <c r="Y105" i="5"/>
  <c r="Y83" i="5"/>
  <c r="Y69" i="5"/>
  <c r="Y19" i="5"/>
  <c r="F39" i="9" s="1"/>
  <c r="X101" i="5"/>
  <c r="X88" i="5"/>
  <c r="X74" i="5"/>
  <c r="X61" i="5"/>
  <c r="X48" i="5"/>
  <c r="X10" i="5"/>
  <c r="W101" i="5"/>
  <c r="W91" i="5"/>
  <c r="W81" i="5"/>
  <c r="W66" i="5"/>
  <c r="W51" i="5"/>
  <c r="D51" i="9" s="1"/>
  <c r="W37" i="5"/>
  <c r="D48" i="9"/>
  <c r="W27" i="5"/>
  <c r="W15" i="5"/>
  <c r="D37" i="9" s="1"/>
  <c r="AA64" i="5"/>
  <c r="Z44" i="5"/>
  <c r="Y44" i="5"/>
  <c r="Y30" i="5"/>
  <c r="F46" i="9" s="1"/>
  <c r="E50" i="9"/>
  <c r="AA56" i="5"/>
  <c r="Z69" i="5"/>
  <c r="Y91" i="5"/>
  <c r="Y54" i="5"/>
  <c r="X44" i="5"/>
  <c r="AA108" i="5"/>
  <c r="AA96" i="5"/>
  <c r="AA54" i="5"/>
  <c r="H50" i="9" s="1"/>
  <c r="AA44" i="5"/>
  <c r="AA32" i="5"/>
  <c r="H48" i="9" s="1"/>
  <c r="AA14" i="5"/>
  <c r="Z112" i="5"/>
  <c r="Z96" i="5"/>
  <c r="Z68" i="5"/>
  <c r="Z54" i="5"/>
  <c r="Z22" i="5"/>
  <c r="Y101" i="5"/>
  <c r="Y89" i="5"/>
  <c r="Y64" i="5"/>
  <c r="Y15" i="5"/>
  <c r="X56" i="5"/>
  <c r="X42" i="5"/>
  <c r="X15" i="5"/>
  <c r="W94" i="5"/>
  <c r="W89" i="5"/>
  <c r="W79" i="5"/>
  <c r="W54" i="5"/>
  <c r="W30" i="5"/>
  <c r="D46" i="9" s="1"/>
  <c r="W23" i="5"/>
  <c r="W25" i="5"/>
  <c r="Z94" i="5"/>
  <c r="Z79" i="5"/>
  <c r="Y51" i="5"/>
  <c r="Y23" i="5"/>
  <c r="X23" i="5"/>
  <c r="AA51" i="5"/>
  <c r="Z108" i="5"/>
  <c r="Y49" i="5"/>
  <c r="Y36" i="5"/>
  <c r="Y22" i="5"/>
  <c r="X105" i="5"/>
  <c r="X51" i="5"/>
  <c r="X22" i="5"/>
  <c r="AA113" i="5"/>
  <c r="AA89" i="5"/>
  <c r="AA61" i="5"/>
  <c r="AA49" i="5"/>
  <c r="AA22" i="5"/>
  <c r="Z76" i="5"/>
  <c r="Z47" i="5"/>
  <c r="Z14" i="5"/>
  <c r="Y108" i="5"/>
  <c r="Y59" i="5"/>
  <c r="Y48" i="5"/>
  <c r="Y20" i="5"/>
  <c r="Y10" i="5"/>
  <c r="X89" i="5"/>
  <c r="X76" i="5"/>
  <c r="X64" i="5"/>
  <c r="X49" i="5"/>
  <c r="X36" i="5"/>
  <c r="W57" i="5"/>
  <c r="G48" i="9"/>
  <c r="W20" i="5"/>
  <c r="D54" i="9"/>
  <c r="AA99" i="5"/>
  <c r="Z99" i="5"/>
  <c r="Y90" i="5"/>
  <c r="Z90" i="5"/>
  <c r="AA67" i="5"/>
  <c r="Z67" i="5"/>
  <c r="AA58" i="5"/>
  <c r="Z58" i="5"/>
  <c r="Y58" i="5"/>
  <c r="AA24" i="5"/>
  <c r="Y24" i="5"/>
  <c r="Z24" i="5"/>
  <c r="G33" i="9"/>
  <c r="Y110" i="5"/>
  <c r="Y78" i="5"/>
  <c r="Y103" i="5"/>
  <c r="X103" i="5"/>
  <c r="X94" i="5"/>
  <c r="AA94" i="5"/>
  <c r="Y71" i="5"/>
  <c r="X71" i="5"/>
  <c r="B11" i="9"/>
  <c r="X62" i="5"/>
  <c r="Y39" i="5"/>
  <c r="AA39" i="5"/>
  <c r="H46" i="9" s="1"/>
  <c r="X39" i="5"/>
  <c r="Y99" i="5"/>
  <c r="Y67" i="5"/>
  <c r="Y35" i="5"/>
  <c r="AA107" i="5"/>
  <c r="Z107" i="5"/>
  <c r="Y98" i="5"/>
  <c r="Z98" i="5"/>
  <c r="AA75" i="5"/>
  <c r="Z75" i="5"/>
  <c r="Y66" i="5"/>
  <c r="Z66" i="5"/>
  <c r="AA34" i="5"/>
  <c r="Z34" i="5"/>
  <c r="Y34" i="5"/>
  <c r="Z26" i="5"/>
  <c r="AA26" i="5"/>
  <c r="D33" i="9"/>
  <c r="AA62" i="5"/>
  <c r="Z110" i="5"/>
  <c r="Z71" i="5"/>
  <c r="Z46" i="5"/>
  <c r="D12" i="9"/>
  <c r="X59" i="5"/>
  <c r="X27" i="5"/>
  <c r="Y111" i="5"/>
  <c r="X111" i="5"/>
  <c r="X102" i="5"/>
  <c r="AA102" i="5"/>
  <c r="Y79" i="5"/>
  <c r="X79" i="5"/>
  <c r="X70" i="5"/>
  <c r="C12" i="9"/>
  <c r="AA70" i="5"/>
  <c r="B12" i="9"/>
  <c r="Y47" i="5"/>
  <c r="AA47" i="5"/>
  <c r="X47" i="5"/>
  <c r="Y13" i="5"/>
  <c r="J5" i="5"/>
  <c r="B7" i="4" s="1"/>
  <c r="X13" i="5"/>
  <c r="Z87" i="5"/>
  <c r="Z21" i="5"/>
  <c r="Y46" i="5"/>
  <c r="Y12" i="5"/>
  <c r="AA87" i="5"/>
  <c r="AA59" i="5"/>
  <c r="AA27" i="5"/>
  <c r="AA12" i="5"/>
  <c r="D11" i="9"/>
  <c r="Y107" i="5"/>
  <c r="Y75" i="5"/>
  <c r="Y43" i="5"/>
  <c r="Y26" i="5"/>
  <c r="X90" i="5"/>
  <c r="X58" i="5"/>
  <c r="X24" i="5"/>
  <c r="Z106" i="5"/>
  <c r="Y106" i="5"/>
  <c r="AA83" i="5"/>
  <c r="Z83" i="5"/>
  <c r="Y74" i="5"/>
  <c r="Z74" i="5"/>
  <c r="W46" i="5"/>
  <c r="Y42" i="5"/>
  <c r="AA42" i="5"/>
  <c r="Z42" i="5"/>
  <c r="AA17" i="5"/>
  <c r="Z17" i="5"/>
  <c r="Y25" i="5"/>
  <c r="Z25" i="5"/>
  <c r="AA25" i="5"/>
  <c r="X99" i="5"/>
  <c r="X67" i="5"/>
  <c r="X35" i="5"/>
  <c r="X110" i="5"/>
  <c r="AA110" i="5"/>
  <c r="Y87" i="5"/>
  <c r="X87" i="5"/>
  <c r="X78" i="5"/>
  <c r="AA78" i="5"/>
  <c r="Y55" i="5"/>
  <c r="AA55" i="5"/>
  <c r="X55" i="5"/>
  <c r="Y21" i="5"/>
  <c r="X21" i="5"/>
  <c r="X12" i="5"/>
  <c r="J4" i="5"/>
  <c r="B6" i="4" s="1"/>
  <c r="AA103" i="5"/>
  <c r="AA71" i="5"/>
  <c r="AA35" i="5"/>
  <c r="AA21" i="5"/>
  <c r="E12" i="9"/>
  <c r="Y114" i="5"/>
  <c r="Z114" i="5"/>
  <c r="AA91" i="5"/>
  <c r="Z91" i="5"/>
  <c r="Z82" i="5"/>
  <c r="Y82" i="5"/>
  <c r="Y50" i="5"/>
  <c r="AA50" i="5"/>
  <c r="Z50" i="5"/>
  <c r="Y16" i="5"/>
  <c r="AA16" i="5"/>
  <c r="Z16" i="5"/>
  <c r="AA90" i="5"/>
  <c r="E11" i="9"/>
  <c r="Z103" i="5"/>
  <c r="Z78" i="5"/>
  <c r="Z39" i="5"/>
  <c r="G46" i="9" s="1"/>
  <c r="Z12" i="5"/>
  <c r="C11" i="9"/>
  <c r="X107" i="5"/>
  <c r="X75" i="5"/>
  <c r="X43" i="5"/>
  <c r="X26" i="5"/>
  <c r="W99" i="5"/>
  <c r="Y95" i="5"/>
  <c r="X95" i="5"/>
  <c r="W90" i="5"/>
  <c r="X86" i="5"/>
  <c r="AA86" i="5"/>
  <c r="W67" i="5"/>
  <c r="Y63" i="5"/>
  <c r="X63" i="5"/>
  <c r="W58" i="5"/>
  <c r="D36" i="9" s="1"/>
  <c r="W35" i="5"/>
  <c r="Y31" i="5"/>
  <c r="AA31" i="5"/>
  <c r="X31" i="5"/>
  <c r="W24" i="5"/>
  <c r="Z65" i="5"/>
  <c r="Z23" i="5"/>
  <c r="Z15" i="5"/>
  <c r="G31" i="2"/>
  <c r="O31" i="2"/>
  <c r="Q30" i="2"/>
  <c r="Q19" i="2"/>
  <c r="Q24" i="2"/>
  <c r="K31" i="2"/>
  <c r="Q26" i="2"/>
  <c r="H31" i="2"/>
  <c r="L31" i="2"/>
  <c r="P31" i="2"/>
  <c r="Q25" i="2"/>
  <c r="E22" i="9" s="1"/>
  <c r="Q29" i="2"/>
  <c r="F31" i="2"/>
  <c r="J31" i="2"/>
  <c r="N31" i="2"/>
  <c r="Q23" i="2"/>
  <c r="B20" i="9" s="1"/>
  <c r="Q27" i="2"/>
  <c r="C24" i="9" s="1"/>
  <c r="J66" i="1"/>
  <c r="K66" i="1" s="1"/>
  <c r="J65" i="1"/>
  <c r="K65" i="1" s="1"/>
  <c r="J64" i="1"/>
  <c r="K64" i="1" s="1"/>
  <c r="J67" i="1"/>
  <c r="K67" i="1" s="1"/>
  <c r="J46" i="1"/>
  <c r="K46" i="1" s="1"/>
  <c r="J45" i="1"/>
  <c r="K45" i="1" s="1"/>
  <c r="J62" i="1"/>
  <c r="K62" i="1" s="1"/>
  <c r="J63" i="1"/>
  <c r="K63" i="1" s="1"/>
  <c r="J32" i="1"/>
  <c r="K32" i="1" s="1"/>
  <c r="J31" i="1"/>
  <c r="K31" i="1" s="1"/>
  <c r="J18" i="1"/>
  <c r="K18" i="1" s="1"/>
  <c r="J17" i="1"/>
  <c r="K17" i="1" s="1"/>
  <c r="J10" i="1"/>
  <c r="K10" i="1" s="1"/>
  <c r="J9" i="1"/>
  <c r="K9" i="1" s="1"/>
  <c r="J42" i="1"/>
  <c r="K42" i="1" s="1"/>
  <c r="J41" i="1"/>
  <c r="K41" i="1" s="1"/>
  <c r="J44" i="1"/>
  <c r="K44" i="1" s="1"/>
  <c r="J40" i="1"/>
  <c r="K40" i="1" s="1"/>
  <c r="J43" i="1"/>
  <c r="K43" i="1" s="1"/>
  <c r="J58" i="1"/>
  <c r="K58" i="1" s="1"/>
  <c r="J61" i="1"/>
  <c r="K61" i="1" s="1"/>
  <c r="J57" i="1"/>
  <c r="K57" i="1" s="1"/>
  <c r="J60" i="1"/>
  <c r="K60" i="1" s="1"/>
  <c r="J56" i="1"/>
  <c r="K56" i="1" s="1"/>
  <c r="J59" i="1"/>
  <c r="K59" i="1" s="1"/>
  <c r="J25" i="1"/>
  <c r="K25" i="1" s="1"/>
  <c r="J24" i="1"/>
  <c r="K24" i="1" s="1"/>
  <c r="J23" i="1"/>
  <c r="K23" i="1" s="1"/>
  <c r="J54" i="1"/>
  <c r="K54" i="1" s="1"/>
  <c r="J53" i="1"/>
  <c r="K53" i="1" s="1"/>
  <c r="J52" i="1"/>
  <c r="K52" i="1" s="1"/>
  <c r="J51" i="1"/>
  <c r="K51" i="1" s="1"/>
  <c r="J70" i="1"/>
  <c r="K70" i="1" s="1"/>
  <c r="J69" i="1"/>
  <c r="K69" i="1" s="1"/>
  <c r="J68" i="1"/>
  <c r="K68" i="1" s="1"/>
  <c r="J71" i="1"/>
  <c r="K71" i="1" s="1"/>
  <c r="J34" i="1"/>
  <c r="K34" i="1" s="1"/>
  <c r="J36" i="1"/>
  <c r="K36" i="1" s="1"/>
  <c r="J35" i="1"/>
  <c r="K35" i="1" s="1"/>
  <c r="J30" i="1"/>
  <c r="K30" i="1" s="1"/>
  <c r="J29" i="1"/>
  <c r="K29" i="1" s="1"/>
  <c r="J28" i="1"/>
  <c r="K28" i="1" s="1"/>
  <c r="J27" i="1"/>
  <c r="K27" i="1" s="1"/>
  <c r="J14" i="1"/>
  <c r="K14" i="1" s="1"/>
  <c r="J13" i="1"/>
  <c r="K13" i="1" s="1"/>
  <c r="J15" i="1"/>
  <c r="K15" i="1" s="1"/>
  <c r="J50" i="1"/>
  <c r="K50" i="1" s="1"/>
  <c r="J49" i="1"/>
  <c r="K49" i="1" s="1"/>
  <c r="J48" i="1"/>
  <c r="K48" i="1" s="1"/>
  <c r="J47" i="1"/>
  <c r="K47" i="1" s="1"/>
  <c r="J22" i="1"/>
  <c r="K22" i="1" s="1"/>
  <c r="J21" i="1"/>
  <c r="K21" i="1" s="1"/>
  <c r="J20" i="1"/>
  <c r="K20" i="1" s="1"/>
  <c r="J19" i="1"/>
  <c r="K19" i="1" s="1"/>
  <c r="J12" i="1"/>
  <c r="K12" i="1" s="1"/>
  <c r="J11" i="1"/>
  <c r="K11" i="1" s="1"/>
  <c r="B22" i="9"/>
  <c r="D22" i="9"/>
  <c r="C22" i="9"/>
  <c r="D24" i="9" l="1"/>
  <c r="E20" i="9"/>
  <c r="D20" i="9"/>
  <c r="E51" i="9"/>
  <c r="G51" i="9"/>
  <c r="G50" i="9"/>
  <c r="G36" i="9"/>
  <c r="H37" i="9"/>
  <c r="E37" i="9"/>
  <c r="F37" i="9"/>
  <c r="F50" i="9"/>
  <c r="E9" i="9"/>
  <c r="E13" i="9" s="1"/>
  <c r="Z115" i="5"/>
  <c r="F53" i="9"/>
  <c r="X115" i="5"/>
  <c r="D53" i="9"/>
  <c r="H51" i="9"/>
  <c r="E53" i="9"/>
  <c r="F52" i="9"/>
  <c r="E54" i="9"/>
  <c r="D50" i="9"/>
  <c r="AA115" i="5"/>
  <c r="G52" i="9"/>
  <c r="F51" i="9"/>
  <c r="W115" i="5"/>
  <c r="D52" i="9"/>
  <c r="E46" i="9"/>
  <c r="D9" i="9"/>
  <c r="D13" i="9" s="1"/>
  <c r="G54" i="9"/>
  <c r="F54" i="9"/>
  <c r="E52" i="9"/>
  <c r="H36" i="9"/>
  <c r="F11" i="9"/>
  <c r="B10" i="9"/>
  <c r="C9" i="9"/>
  <c r="E36" i="9"/>
  <c r="C10" i="9"/>
  <c r="G53" i="9"/>
  <c r="F36" i="9"/>
  <c r="D10" i="9"/>
  <c r="Y115" i="5"/>
  <c r="F12" i="9"/>
  <c r="B13" i="9"/>
  <c r="H52" i="9"/>
  <c r="E10" i="9"/>
  <c r="G37" i="9"/>
  <c r="H53" i="9"/>
  <c r="H54" i="9"/>
  <c r="C27" i="9"/>
  <c r="C26" i="9"/>
  <c r="E24" i="9"/>
  <c r="B24" i="9"/>
  <c r="C20" i="9"/>
  <c r="F20" i="9" s="1"/>
  <c r="Q31" i="2"/>
  <c r="E26" i="9"/>
  <c r="B27" i="9"/>
  <c r="F22" i="9"/>
  <c r="B26" i="9"/>
  <c r="B8" i="9"/>
  <c r="C8" i="9"/>
  <c r="C21" i="9"/>
  <c r="B21" i="9"/>
  <c r="D8" i="9"/>
  <c r="D21" i="9"/>
  <c r="E8" i="9"/>
  <c r="E21" i="9"/>
  <c r="K7" i="1"/>
  <c r="B8" i="4" s="1"/>
  <c r="B10" i="4" s="1"/>
  <c r="B12" i="4" s="1"/>
  <c r="B14" i="4" s="1"/>
  <c r="C25" i="9"/>
  <c r="B25" i="9"/>
  <c r="D25" i="9"/>
  <c r="E25" i="9"/>
  <c r="E27" i="9"/>
  <c r="D26" i="9"/>
  <c r="D27" i="9"/>
  <c r="D23" i="9"/>
  <c r="E23" i="9"/>
  <c r="B23" i="9"/>
  <c r="C23" i="9"/>
  <c r="F24" i="9" l="1"/>
  <c r="F9" i="9"/>
  <c r="F31" i="9"/>
  <c r="D14" i="9"/>
  <c r="D31" i="9"/>
  <c r="C14" i="9"/>
  <c r="C13" i="9"/>
  <c r="F13" i="9" s="1"/>
  <c r="G31" i="9"/>
  <c r="E31" i="9"/>
  <c r="W116" i="5"/>
  <c r="E14" i="9"/>
  <c r="H31" i="9"/>
  <c r="F10" i="9"/>
  <c r="D28" i="9"/>
  <c r="E28" i="9"/>
  <c r="F21" i="9"/>
  <c r="F26" i="9"/>
  <c r="F23" i="9"/>
  <c r="F25" i="9"/>
  <c r="C28" i="9"/>
  <c r="B28" i="9"/>
  <c r="F8" i="9"/>
  <c r="B14" i="9"/>
  <c r="F27" i="9"/>
  <c r="I31" i="9" l="1"/>
  <c r="F14" i="9"/>
  <c r="F28" i="9"/>
</calcChain>
</file>

<file path=xl/comments1.xml><?xml version="1.0" encoding="utf-8"?>
<comments xmlns="http://schemas.openxmlformats.org/spreadsheetml/2006/main">
  <authors>
    <author>Autor</author>
  </authors>
  <commentList>
    <comment ref="D25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Câmbio do dia 23/08 - R$ 3,20</t>
        </r>
      </text>
    </comment>
    <comment ref="M25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Câmbio do dia 23/08 - R$ 3,20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25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Câmbio do dia 23/08 - R$ 3,20</t>
        </r>
      </text>
    </comment>
    <comment ref="M25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Câmbio do dia 23/08 - R$ 3,20</t>
        </r>
      </text>
    </comment>
  </commentList>
</comments>
</file>

<file path=xl/sharedStrings.xml><?xml version="1.0" encoding="utf-8"?>
<sst xmlns="http://schemas.openxmlformats.org/spreadsheetml/2006/main" count="2017" uniqueCount="385">
  <si>
    <t>INOVAÇÃO TECNOLÓGICA 2016</t>
  </si>
  <si>
    <t>Projeto</t>
  </si>
  <si>
    <t>Data</t>
  </si>
  <si>
    <t>Início</t>
  </si>
  <si>
    <t>Fim</t>
  </si>
  <si>
    <t>Horas totais</t>
  </si>
  <si>
    <t>Funcionário</t>
  </si>
  <si>
    <t>Franciele Guedes</t>
  </si>
  <si>
    <t>Bemmax</t>
  </si>
  <si>
    <t>Trophic Junior</t>
  </si>
  <si>
    <t>Trophic Basic - primeira produção Prodiet</t>
  </si>
  <si>
    <t>Immax</t>
  </si>
  <si>
    <t>Vital Rice</t>
  </si>
  <si>
    <t>Hozana Bueno</t>
  </si>
  <si>
    <t>Trophic Infant pó - nova fórmula</t>
  </si>
  <si>
    <t>Controle em Shelf Life</t>
  </si>
  <si>
    <t>Nova MP - mix 162562 Trophic Infant pó</t>
  </si>
  <si>
    <t>Sustenlac</t>
  </si>
  <si>
    <t>Leites terapêuticos</t>
  </si>
  <si>
    <t>Nome</t>
  </si>
  <si>
    <t>CPF</t>
  </si>
  <si>
    <t>Amid Tony Ibrahim</t>
  </si>
  <si>
    <t>075.215.579-21</t>
  </si>
  <si>
    <t>Ana Paula Celes</t>
  </si>
  <si>
    <t>065.423.719-07</t>
  </si>
  <si>
    <t>Hellin dos Santos</t>
  </si>
  <si>
    <t>058.544.839-63</t>
  </si>
  <si>
    <t>039.677.159-90</t>
  </si>
  <si>
    <t>Jana Grenteski</t>
  </si>
  <si>
    <t>040.201.929-60</t>
  </si>
  <si>
    <t>Lizianne Shmeil</t>
  </si>
  <si>
    <t>052.485.199-93</t>
  </si>
  <si>
    <t>Luciana Dutra</t>
  </si>
  <si>
    <t>Marianne Stigar</t>
  </si>
  <si>
    <t>066.424.199-95</t>
  </si>
  <si>
    <t>Mauricio Ragadalli</t>
  </si>
  <si>
    <t>060.236.389-61</t>
  </si>
  <si>
    <t>Piloto experimental</t>
  </si>
  <si>
    <t>Produção - morango</t>
  </si>
  <si>
    <t>Produção - baunilha</t>
  </si>
  <si>
    <t>Produção - chocolate</t>
  </si>
  <si>
    <t>Produção industrial</t>
  </si>
  <si>
    <t>Pesagem</t>
  </si>
  <si>
    <t>Produção</t>
  </si>
  <si>
    <t>Piloto pó</t>
  </si>
  <si>
    <t>Descrição</t>
  </si>
  <si>
    <t>Análises de laboratório</t>
  </si>
  <si>
    <t>Feriado</t>
  </si>
  <si>
    <t>Dt. Inicial</t>
  </si>
  <si>
    <t>Dt. Final</t>
  </si>
  <si>
    <t>Dias úteis</t>
  </si>
  <si>
    <t>Ano Novo</t>
  </si>
  <si>
    <t>Páscoa</t>
  </si>
  <si>
    <t>Tiradentes</t>
  </si>
  <si>
    <t>Dia do Trabalho</t>
  </si>
  <si>
    <t>Corpus Christi</t>
  </si>
  <si>
    <t>Independência</t>
  </si>
  <si>
    <t>Padroeira de Curitiba</t>
  </si>
  <si>
    <t>N.S.Aparecida</t>
  </si>
  <si>
    <t>Finados</t>
  </si>
  <si>
    <t>Natal</t>
  </si>
  <si>
    <t>Ano novo</t>
  </si>
  <si>
    <t>Feriados em Curitiba</t>
  </si>
  <si>
    <t>Resumo de investimentos</t>
  </si>
  <si>
    <t>Natureza</t>
  </si>
  <si>
    <t>Material</t>
  </si>
  <si>
    <t>Terceiros</t>
  </si>
  <si>
    <t>Total</t>
  </si>
  <si>
    <t>Percentual Exclusão</t>
  </si>
  <si>
    <t>Exclusão da Base de cálculo do IRPJ e CSLL</t>
  </si>
  <si>
    <r>
      <t>Economia Estimada [</t>
    </r>
    <r>
      <rPr>
        <b/>
        <sz val="11"/>
        <color rgb="FFFF0000"/>
        <rFont val="Calibri"/>
        <family val="2"/>
        <scheme val="minor"/>
      </rPr>
      <t>34%</t>
    </r>
    <r>
      <rPr>
        <b/>
        <sz val="11"/>
        <color theme="1"/>
        <rFont val="Calibri"/>
        <family val="2"/>
        <scheme val="minor"/>
      </rPr>
      <t>]</t>
    </r>
  </si>
  <si>
    <t>(b)</t>
  </si>
  <si>
    <t xml:space="preserve">(c) </t>
  </si>
  <si>
    <t>Participação nos projetos</t>
  </si>
  <si>
    <t>Dispêndio (R$) por projeto</t>
  </si>
  <si>
    <t>Tipo de documento</t>
  </si>
  <si>
    <t>Documento</t>
  </si>
  <si>
    <t>Controle DOCS</t>
  </si>
  <si>
    <t>Total NF</t>
  </si>
  <si>
    <t>PRODUTOS</t>
  </si>
  <si>
    <t>RECURSO</t>
  </si>
  <si>
    <t>CPF / CNPJ</t>
  </si>
  <si>
    <t>ATIVIDADE</t>
  </si>
  <si>
    <t>NATUREZA</t>
  </si>
  <si>
    <t>DATA</t>
  </si>
  <si>
    <t>Mês</t>
  </si>
  <si>
    <t>QTD</t>
  </si>
  <si>
    <t>UNITÁRIO</t>
  </si>
  <si>
    <t>TOTAL</t>
  </si>
  <si>
    <t>Novos Produtos</t>
  </si>
  <si>
    <t>Novas matérias-primas</t>
  </si>
  <si>
    <t>Melhoria de Produto</t>
  </si>
  <si>
    <t>Melhoria de Processo</t>
  </si>
  <si>
    <t>ILSI</t>
  </si>
  <si>
    <t>NF</t>
  </si>
  <si>
    <t>Bemmax, Peptimax</t>
  </si>
  <si>
    <t>Bioagri Analises de alimentos Ltda</t>
  </si>
  <si>
    <t>00.000.410/0001-32</t>
  </si>
  <si>
    <t>Análise de ácidos graxos</t>
  </si>
  <si>
    <t>Bilhete e-ticket</t>
  </si>
  <si>
    <t>577 0005868279</t>
  </si>
  <si>
    <t>Azul linhas aéreas</t>
  </si>
  <si>
    <t>Passagens Hellin IDA e VOLTA Ribeirão Preto</t>
  </si>
  <si>
    <t>Cupons fiscais</t>
  </si>
  <si>
    <t>Diversos</t>
  </si>
  <si>
    <t>Alimentação e táxi Hellin Ribeirão Preto</t>
  </si>
  <si>
    <t>Oraculum Inteligência em Nutrição e Saúde Ltda - ME</t>
  </si>
  <si>
    <t>21.213.714/0001-58</t>
  </si>
  <si>
    <t>Desenvolvimento de receitas Immax</t>
  </si>
  <si>
    <t>Impressione Impressão Digital Ltda - ME</t>
  </si>
  <si>
    <t>12.457.568/0001-15</t>
  </si>
  <si>
    <t>Impressão de material gráfico Immax</t>
  </si>
  <si>
    <t>Laboratório Alac Ltda</t>
  </si>
  <si>
    <t>94.088.952/0001-52</t>
  </si>
  <si>
    <t>Análise de micronutrientes Immax</t>
  </si>
  <si>
    <t>Fundação de desenv. Da pesquisa do agronegócio - FUNDEPAG</t>
  </si>
  <si>
    <t>50.276.237/0001-78</t>
  </si>
  <si>
    <t>Análises físico-químicas Immax</t>
  </si>
  <si>
    <t>Sandra Marcia da Silva de Souza - ME</t>
  </si>
  <si>
    <t>13.807.270/0001-50</t>
  </si>
  <si>
    <t>Impressões gráficas Immax</t>
  </si>
  <si>
    <t>Análise de ácidos graxos Immax</t>
  </si>
  <si>
    <t>Clínica Médica Mourão Faccio S/S</t>
  </si>
  <si>
    <t>04.404.467/0001-58</t>
  </si>
  <si>
    <t>1ª parcela do contrato de prestação de serviço estudo clínico Immax</t>
  </si>
  <si>
    <t>Contabilista Papelaria e informática</t>
  </si>
  <si>
    <t>77.765.840/0001-70</t>
  </si>
  <si>
    <t>Materiais</t>
  </si>
  <si>
    <t>Medicalcom Hospitalares Eireli - ME</t>
  </si>
  <si>
    <t>21.059.832/0001-53</t>
  </si>
  <si>
    <t>Balança de controle corporal - estudo clínico Immax</t>
  </si>
  <si>
    <t>Comercial Brey Ltda</t>
  </si>
  <si>
    <t>02.608.645/0001-37</t>
  </si>
  <si>
    <t>Seladora de bancada - Leites terapêuticos</t>
  </si>
  <si>
    <t>Alzheimer</t>
  </si>
  <si>
    <t>Valéria Paschoal Editora Produtos e Serviços Ltda EPP</t>
  </si>
  <si>
    <t>06.635.677/0001-82</t>
  </si>
  <si>
    <t>Compra de livros nutrição enteral</t>
  </si>
  <si>
    <t>Alzheimer, Bemmax, Immax</t>
  </si>
  <si>
    <t>Nutrihealth Comercio de Produtos Alimentícios Eireli ME</t>
  </si>
  <si>
    <t>14.492.128/0001-89</t>
  </si>
  <si>
    <t>Compra de produtos concorrentes</t>
  </si>
  <si>
    <t>Invoice</t>
  </si>
  <si>
    <t>Covance - The Development Service Company</t>
  </si>
  <si>
    <t>Densidade volumétrica Trophic Junior</t>
  </si>
  <si>
    <t>Expresso</t>
  </si>
  <si>
    <t>Conhec. Aéreo 9692285061</t>
  </si>
  <si>
    <t>Envio de amostras de T. Junior para o exterior (Stern)</t>
  </si>
  <si>
    <t>Trophic Junior e mix 16006</t>
  </si>
  <si>
    <t>Análise de micronutrentes T. Junior (mix 16006)</t>
  </si>
  <si>
    <t>Fatura</t>
  </si>
  <si>
    <t>AWB 6152 6505 2282</t>
  </si>
  <si>
    <t>Mix de minerais 16006</t>
  </si>
  <si>
    <t>FedEx</t>
  </si>
  <si>
    <t>00.676.486/0001-82</t>
  </si>
  <si>
    <t>Recebimento de amostra de mix 16006</t>
  </si>
  <si>
    <t>PHA Costantino</t>
  </si>
  <si>
    <t>A. Costantino &amp; C. spa</t>
  </si>
  <si>
    <t>Recebimento de amostra de PHA Costantino</t>
  </si>
  <si>
    <t>Labor Tres Laboratórios e Consultoria Técnica Ltda</t>
  </si>
  <si>
    <t>02.021.076/0001-29</t>
  </si>
  <si>
    <t>Análises físico-químicas e microbiológicas Vital Rice</t>
  </si>
  <si>
    <t>Cupom fiscal</t>
  </si>
  <si>
    <t>Vital Rice Complete</t>
  </si>
  <si>
    <t>Callfarma</t>
  </si>
  <si>
    <t>08.011.373/0001-70</t>
  </si>
  <si>
    <t>Recibo</t>
  </si>
  <si>
    <t>Associação Paranaense de Cultura - APC</t>
  </si>
  <si>
    <t>76.659.820/0003-13</t>
  </si>
  <si>
    <t>Teste de bancada na PUC-PR</t>
  </si>
  <si>
    <t>Teste de alergênicos lecitina de soja em pó</t>
  </si>
  <si>
    <t>Feira de nutrição enteral</t>
  </si>
  <si>
    <t>Gastos em Feira de Nutrição Enteral (Felanpe) para prospecção de novos projetos</t>
  </si>
  <si>
    <t>Caseinato de cálcio Fonterra</t>
  </si>
  <si>
    <t>Castrolanda</t>
  </si>
  <si>
    <t>76.108.349/0014-28</t>
  </si>
  <si>
    <t>Envio de 24 amostras de T. Fiber para a Prodiet</t>
  </si>
  <si>
    <t>Immax, L-leucina</t>
  </si>
  <si>
    <t>Mix 150243, PHA Friesl, T. Infant</t>
  </si>
  <si>
    <t>Análises vitaminas T. Infant nova fórmula; alergênico PHA</t>
  </si>
  <si>
    <t>T. Infant, MPC Fonterra, Loremalt 2030M, Açúcar K, mix 150243</t>
  </si>
  <si>
    <t>FQ T. Infant nova fórmula</t>
  </si>
  <si>
    <t>T. EP e mix 152349</t>
  </si>
  <si>
    <t>Analisa os testes dos produtos e dá assistência na parametrização do produto e dos novos testes a serem feitos. Faz acompanhamento técnico de todos os projetos de pesquisa e desenvolvimento.</t>
  </si>
  <si>
    <t>Bio e Pept. (red. Na e P); T. Junior, mix 16006, mix 151160</t>
  </si>
  <si>
    <t>Análises micronut. Bio, Pept., T. Fiber e T. Junior</t>
  </si>
  <si>
    <t>Mix 151160</t>
  </si>
  <si>
    <t>Análise de minerais T.Fiber</t>
  </si>
  <si>
    <t>Trophic Junior, T. Basic pó</t>
  </si>
  <si>
    <t>Análise microbiologia T. Junior/T. Basic</t>
  </si>
  <si>
    <t>Cupons fiscais e bilhete e-ticket</t>
  </si>
  <si>
    <t>Feira de ingredientes</t>
  </si>
  <si>
    <t>Participação em feira de ingredientes para prospecção de novas MP</t>
  </si>
  <si>
    <t>Peptimax lata</t>
  </si>
  <si>
    <t>TUV SUD SFDK Laboratório de Análise de Produto LTDA</t>
  </si>
  <si>
    <t>55.953.079/0001-67</t>
  </si>
  <si>
    <t>Análise de shelf life primeira produção de Peptimax lata</t>
  </si>
  <si>
    <t>Energyzip 1.0</t>
  </si>
  <si>
    <t>Primeira produção de E 1.0 Castrolanda</t>
  </si>
  <si>
    <t>Shelf Life E 1.0 com maior tempo de retardo e menor temperatura de esterilização</t>
  </si>
  <si>
    <t>T. Junior, T 1.5, Diamax, Peptimax, T. Basic líq, E. 10, T. Fiber</t>
  </si>
  <si>
    <t>Fundação de estudos e pesquisas aquáticas - FUNDESPA</t>
  </si>
  <si>
    <t>61.379.657/0001-04</t>
  </si>
  <si>
    <t>Análises de shelf life</t>
  </si>
  <si>
    <t>Diamax, E.10, T. Basic líq, T.15, T. Fiber</t>
  </si>
  <si>
    <t>T. Fiber, T 1.5, T EP, Peptimax</t>
  </si>
  <si>
    <t>Análises distribuição de tamanho de partícula</t>
  </si>
  <si>
    <t>E. chocolate, T. Fiber (caseinato Ca)</t>
  </si>
  <si>
    <t>Distribuição de partícula - E. chocolate e T Fiber com novo caseinato</t>
  </si>
  <si>
    <t>Peptimax lata, T. Bio</t>
  </si>
  <si>
    <t>Ácidos graxos T. Bio lecitinado e Peptimax lata</t>
  </si>
  <si>
    <t>04/11/2-16</t>
  </si>
  <si>
    <t>Trophic EP  (mix 152349)</t>
  </si>
  <si>
    <t>Análise de vitaminas Trophic EP baixa viscosidade</t>
  </si>
  <si>
    <t>Trophic Infant e Peptimax</t>
  </si>
  <si>
    <t>Análise microbiologia T Infant e Peptimax lata</t>
  </si>
  <si>
    <t>Trophic Bio e Peptimax</t>
  </si>
  <si>
    <t>Análise de micronutrientes para estudo de redução de Na e P</t>
  </si>
  <si>
    <t>T. Bio, Peptimax e Immax</t>
  </si>
  <si>
    <t>Análise de micronutrientes - NP e redução de Na e P</t>
  </si>
  <si>
    <t>Trophic Basic</t>
  </si>
  <si>
    <t>Análises de micronutrientes para estudo de redução Na e P</t>
  </si>
  <si>
    <t>Trophic Infant</t>
  </si>
  <si>
    <t>Análises ácidos graxos T. Infant nova fórmula</t>
  </si>
  <si>
    <t>Diamax</t>
  </si>
  <si>
    <t>Micronutrientes Diamax para estudo de extensão de validade</t>
  </si>
  <si>
    <t>Energyzip baunilha</t>
  </si>
  <si>
    <t>Micronutrientes E. baun para estudo de extensão de validade</t>
  </si>
  <si>
    <t>ILSI Brasil</t>
  </si>
  <si>
    <t>65.086.001/0001-46</t>
  </si>
  <si>
    <t>ILSI mensalidade julho</t>
  </si>
  <si>
    <t>ILSI mensalidade agosto</t>
  </si>
  <si>
    <t>ILSI mensalidade setembro</t>
  </si>
  <si>
    <t>ILSI mensalidade outubro</t>
  </si>
  <si>
    <t>ILSI mensalidade novembro</t>
  </si>
  <si>
    <t>ILSI mensalidade dezembro</t>
  </si>
  <si>
    <t>ILSI aquisição de livros</t>
  </si>
  <si>
    <t>ILSI workshop</t>
  </si>
  <si>
    <t>957 213526024/577 0005867190</t>
  </si>
  <si>
    <t>LATAM e Azul Linhas Aéreas</t>
  </si>
  <si>
    <t>Passagens Hellin IDA e VOLTA workshop ILSI setembro</t>
  </si>
  <si>
    <t>ILSI série de workshops</t>
  </si>
  <si>
    <t>Confirmação reserva</t>
  </si>
  <si>
    <t>Blue Tree Premium Paulista</t>
  </si>
  <si>
    <t>Reserva hotel Hellin - ILSI série de workshops</t>
  </si>
  <si>
    <t>247 2426021755/957 2137652929</t>
  </si>
  <si>
    <t>Avianca e LATAM</t>
  </si>
  <si>
    <t>Passagens Hellin - ILSI série de workshops</t>
  </si>
  <si>
    <t>Bilhete e-ticket/Cupons fiscais</t>
  </si>
  <si>
    <t>957 2124724203</t>
  </si>
  <si>
    <t>Gastos Jana - workshop ILSI fevereiro</t>
  </si>
  <si>
    <t>957 2126179902</t>
  </si>
  <si>
    <t>TAM</t>
  </si>
  <si>
    <t>Passagem workshop ILSI - Jana</t>
  </si>
  <si>
    <t>Gastos Jana - workshop ILSI março</t>
  </si>
  <si>
    <t>247 2425232331/127 0001897631</t>
  </si>
  <si>
    <t>Aviana e GOL</t>
  </si>
  <si>
    <t>Gastos Hellin - reunião geral ILSI 14/10</t>
  </si>
  <si>
    <t>Gastos transporte Hellin - reunião geral ILSI 14/10</t>
  </si>
  <si>
    <t>Gastos Jana - reunião geral ILSI 14/10</t>
  </si>
  <si>
    <t>957 212697498</t>
  </si>
  <si>
    <t>Passagem reunião geral ILSI - Jana</t>
  </si>
  <si>
    <t>577 0005846198/957 2133365958</t>
  </si>
  <si>
    <t>Azul e LATAM</t>
  </si>
  <si>
    <t>Passagem reunião geral ILSI - Hellin</t>
  </si>
  <si>
    <t>Bilhete e-ticket e recibos</t>
  </si>
  <si>
    <t>127 0001931180</t>
  </si>
  <si>
    <t>Gastos e passagem Hellin - reunião geral ILSI 29/11</t>
  </si>
  <si>
    <t>Custo/Hora</t>
  </si>
  <si>
    <t>Custo Total</t>
  </si>
  <si>
    <t>INSS</t>
  </si>
  <si>
    <t>Encargos sobre folha</t>
  </si>
  <si>
    <t>Patronal</t>
  </si>
  <si>
    <t>FGTS</t>
  </si>
  <si>
    <t>Férias</t>
  </si>
  <si>
    <t>13º</t>
  </si>
  <si>
    <t>RAT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</si>
  <si>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</si>
  <si>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</si>
  <si>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</si>
  <si>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</si>
  <si>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</si>
  <si>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</si>
  <si>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</si>
  <si>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</si>
  <si>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</si>
  <si>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</si>
  <si>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</si>
  <si>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</si>
  <si>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Dedicação</t>
  </si>
  <si>
    <t>Exclusiva</t>
  </si>
  <si>
    <t>Parcial</t>
  </si>
  <si>
    <t>SALÁRIO BRUTO</t>
  </si>
  <si>
    <t>Horas úteis</t>
  </si>
  <si>
    <t>Total de dias e horas úteis por mês</t>
  </si>
  <si>
    <r>
      <t>RH (</t>
    </r>
    <r>
      <rPr>
        <i/>
        <sz val="11"/>
        <color theme="1"/>
        <rFont val="Calibri"/>
        <family val="2"/>
        <scheme val="minor"/>
      </rPr>
      <t>Parcial inovação</t>
    </r>
    <r>
      <rPr>
        <sz val="11"/>
        <color theme="1"/>
        <rFont val="Calibri"/>
        <family val="2"/>
        <scheme val="minor"/>
      </rPr>
      <t>)</t>
    </r>
  </si>
  <si>
    <r>
      <t>RH (</t>
    </r>
    <r>
      <rPr>
        <i/>
        <sz val="11"/>
        <color theme="1"/>
        <rFont val="Calibri"/>
        <family val="2"/>
        <scheme val="minor"/>
      </rPr>
      <t>Exclusivo inovação</t>
    </r>
    <r>
      <rPr>
        <sz val="11"/>
        <color theme="1"/>
        <rFont val="Calibri"/>
        <family val="2"/>
        <scheme val="minor"/>
      </rPr>
      <t>)</t>
    </r>
  </si>
  <si>
    <t xml:space="preserve">FUNCIONÁRIO </t>
  </si>
  <si>
    <t xml:space="preserve">AMID </t>
  </si>
  <si>
    <t xml:space="preserve">FRANCIELLE </t>
  </si>
  <si>
    <t xml:space="preserve">HELLIN </t>
  </si>
  <si>
    <t>HOZANA</t>
  </si>
  <si>
    <t>-</t>
  </si>
  <si>
    <t xml:space="preserve">- </t>
  </si>
  <si>
    <t xml:space="preserve">JANA </t>
  </si>
  <si>
    <t xml:space="preserve">LIZIANE </t>
  </si>
  <si>
    <t xml:space="preserve">MARIANNE </t>
  </si>
  <si>
    <t xml:space="preserve">MAURÍCIO </t>
  </si>
  <si>
    <t>ANA PAULA CELES</t>
  </si>
  <si>
    <t>LUCIANA DUTRA</t>
  </si>
  <si>
    <t>Horas totais [2]</t>
  </si>
  <si>
    <t>Apontamento de horas [e cálculo do custo] do pessoal com dedicação parcial à inovação tecnológica</t>
  </si>
  <si>
    <t>Cálculo do custo do pessoal com dedicação exclusivo à inovação tecnológica</t>
  </si>
  <si>
    <r>
      <t xml:space="preserve">(c) Custo total dos funcionários com dedicação exclusiva - </t>
    </r>
    <r>
      <rPr>
        <i/>
        <u/>
        <sz val="10"/>
        <color theme="4" tint="-0.249977111117893"/>
        <rFont val="Calibri"/>
        <family val="2"/>
        <scheme val="minor"/>
      </rPr>
      <t>planilha Dedicação Exclusiva</t>
    </r>
  </si>
  <si>
    <t>ILSI mensalidade janeiro</t>
  </si>
  <si>
    <t>ILSI mensalidade fevereiro</t>
  </si>
  <si>
    <t>ILSI mensalidade março</t>
  </si>
  <si>
    <t>ILSI mensalidade abril</t>
  </si>
  <si>
    <t>ILSI mensalidade maio</t>
  </si>
  <si>
    <t>ILSI mensalidade junho</t>
  </si>
  <si>
    <t>Valores</t>
  </si>
  <si>
    <t>NF (Relatório contábil)</t>
  </si>
  <si>
    <t>Nutrimento Gestão de Dados Empresariais Ltda.</t>
  </si>
  <si>
    <t>03.150.501/0001-42</t>
  </si>
  <si>
    <t>L Dutra Serviços ME</t>
  </si>
  <si>
    <t>18.337.175/0001-54</t>
  </si>
  <si>
    <t>Acompanha e faz teste nos produtos para validação de lote piloto, teste de validade do produto, teste de caracterísca e teste de de administração do produto final.Visto que são produtos de alimentação hospitalar, oral e domiciliar pós-internação.</t>
  </si>
  <si>
    <r>
      <t xml:space="preserve">(a2) Serviços contratados + Ana Paula Celes e Luciana Dutra [dedicação parcial sem apontamento de horas] - detalhes na </t>
    </r>
    <r>
      <rPr>
        <i/>
        <u/>
        <sz val="10"/>
        <color theme="4" tint="-0.249977111117893"/>
        <rFont val="Calibri"/>
        <family val="2"/>
        <scheme val="minor"/>
      </rPr>
      <t>planilha Investimentos</t>
    </r>
  </si>
  <si>
    <r>
      <t xml:space="preserve">(a1) Material consumido - detalhes na </t>
    </r>
    <r>
      <rPr>
        <i/>
        <u/>
        <sz val="10"/>
        <color theme="4" tint="-0.249977111117893"/>
        <rFont val="Calibri"/>
        <family val="2"/>
        <scheme val="minor"/>
      </rPr>
      <t>planilha Investimentos</t>
    </r>
  </si>
  <si>
    <t>(a1)</t>
  </si>
  <si>
    <t>(a2)</t>
  </si>
  <si>
    <r>
      <t xml:space="preserve">(b) Time Sheet [funcionários com dedicação parcial] - </t>
    </r>
    <r>
      <rPr>
        <i/>
        <u/>
        <sz val="10"/>
        <color theme="4" tint="-0.249977111117893"/>
        <rFont val="Calibri"/>
        <family val="2"/>
        <scheme val="minor"/>
      </rPr>
      <t>planilhas Timesheet consolidado</t>
    </r>
  </si>
  <si>
    <t>Escolaridade 2016</t>
  </si>
  <si>
    <t>Superior Completo</t>
  </si>
  <si>
    <t>Eng. De Bioprocessos e Biotecnologia</t>
  </si>
  <si>
    <t>Eng. De Produção</t>
  </si>
  <si>
    <t>Nutricionista</t>
  </si>
  <si>
    <t>Técnico</t>
  </si>
  <si>
    <t>Técnico Qualidade</t>
  </si>
  <si>
    <t>Pós graduada</t>
  </si>
  <si>
    <t>Graduada em Eng. Alimentos e Medicina Veterinária</t>
  </si>
  <si>
    <t>Graduada em Processos Químicos e MBA em Eng. Produção e qualidade</t>
  </si>
  <si>
    <t>Eng produção</t>
  </si>
  <si>
    <t>Curso</t>
  </si>
  <si>
    <t>Distribuição entre os projetos dos gastos [para formulário do MCTI]</t>
  </si>
  <si>
    <t>Distribuição</t>
  </si>
  <si>
    <t>Novos produtos</t>
  </si>
  <si>
    <t>Melhoria de produto</t>
  </si>
  <si>
    <t>RH Ded.</t>
  </si>
  <si>
    <t>RH Par.</t>
  </si>
  <si>
    <r>
      <t xml:space="preserve">PJ </t>
    </r>
    <r>
      <rPr>
        <b/>
        <i/>
        <sz val="10"/>
        <color theme="1"/>
        <rFont val="Calibri"/>
        <family val="2"/>
      </rPr>
      <t>(terceiros)</t>
    </r>
  </si>
  <si>
    <r>
      <t xml:space="preserve">% </t>
    </r>
    <r>
      <rPr>
        <b/>
        <i/>
        <sz val="10"/>
        <color rgb="FFFF0000"/>
        <rFont val="Calibri"/>
        <family val="2"/>
      </rPr>
      <t>(proporção)</t>
    </r>
  </si>
  <si>
    <t>Observação: a proporção foi calculada considerando o percentual de cada projeto nos gastos com PJ (terceiros).</t>
  </si>
  <si>
    <t>R$</t>
  </si>
  <si>
    <t>Exclusivo</t>
  </si>
  <si>
    <t>Escolaridade</t>
  </si>
  <si>
    <t>Superior Completo / Doutorado em Andamento</t>
  </si>
  <si>
    <r>
      <t>Total (</t>
    </r>
    <r>
      <rPr>
        <b/>
        <sz val="10"/>
        <color rgb="FFFF0000"/>
        <rFont val="Calibri"/>
        <family val="2"/>
      </rPr>
      <t>R$</t>
    </r>
    <r>
      <rPr>
        <b/>
        <sz val="10"/>
        <color theme="3"/>
        <rFont val="Calibri"/>
        <family val="2"/>
      </rPr>
      <t>)</t>
    </r>
  </si>
  <si>
    <r>
      <t>Total (</t>
    </r>
    <r>
      <rPr>
        <b/>
        <sz val="10"/>
        <color rgb="FFFF0000"/>
        <rFont val="Calibri"/>
        <family val="2"/>
      </rPr>
      <t>Horas</t>
    </r>
    <r>
      <rPr>
        <b/>
        <sz val="10"/>
        <color theme="3"/>
        <rFont val="Calibri"/>
        <family val="2"/>
      </rPr>
      <t>)</t>
    </r>
  </si>
  <si>
    <t>Distribuição ILSI (material)</t>
  </si>
  <si>
    <t>Distribuição ILSI (PJ)</t>
  </si>
  <si>
    <t>Material (total)</t>
  </si>
  <si>
    <t>Receita líquida</t>
  </si>
  <si>
    <t>Deduções da receita</t>
  </si>
  <si>
    <t>3.2</t>
  </si>
  <si>
    <t>Outras receitas</t>
  </si>
  <si>
    <t>3.1.1.3</t>
  </si>
  <si>
    <t>Receitas financeiras</t>
  </si>
  <si>
    <t>3.1.1.2</t>
  </si>
  <si>
    <t>Receitas de vendas</t>
  </si>
  <si>
    <t>3.1.1.1</t>
  </si>
  <si>
    <t>Cálculo da Receita Líquida</t>
  </si>
  <si>
    <r>
      <t xml:space="preserve">Fonte: Apuração IR e CSLL </t>
    </r>
    <r>
      <rPr>
        <i/>
        <sz val="11"/>
        <rFont val="Calibri"/>
        <family val="2"/>
        <scheme val="minor"/>
      </rPr>
      <t>2016_12 Balancete 31/12/2016 (1)</t>
    </r>
  </si>
  <si>
    <t>PRODIET</t>
  </si>
  <si>
    <t>Anexo I - Investimentos - Materiais</t>
  </si>
  <si>
    <t>Anexo II - Investimentos - Terceiros</t>
  </si>
  <si>
    <t>Tipo</t>
  </si>
  <si>
    <t>Anexo III - Timesheets consolidados</t>
  </si>
  <si>
    <t>ANEXO IV - Pessoal exclusivo</t>
  </si>
  <si>
    <t>Anexo V - Salários</t>
  </si>
  <si>
    <t>Anexo VI - Dias úteis</t>
  </si>
  <si>
    <t>DOCS</t>
  </si>
  <si>
    <r>
      <t>SALÁRIO BRUTO [</t>
    </r>
    <r>
      <rPr>
        <sz val="11"/>
        <rFont val="Calibri"/>
        <family val="2"/>
        <scheme val="minor"/>
      </rPr>
      <t>c/ encargos</t>
    </r>
    <r>
      <rPr>
        <b/>
        <sz val="11"/>
        <rFont val="Calibri"/>
        <family val="2"/>
        <scheme val="minor"/>
      </rPr>
      <t>]</t>
    </r>
  </si>
  <si>
    <t>Salário (R$) [dez]</t>
  </si>
  <si>
    <r>
      <t>CUSTO/HORA [</t>
    </r>
    <r>
      <rPr>
        <sz val="11"/>
        <rFont val="Calibri"/>
        <family val="2"/>
        <scheme val="minor"/>
      </rPr>
      <t>c/ encargos</t>
    </r>
    <r>
      <rPr>
        <b/>
        <sz val="1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</si>
</sst>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R$&quot;\ #,##0.00;[Red]\-&quot;R$&quot;\ #,##0.00"/>
    <numFmt numFmtId="43" formatCode="_-* #,##0.00_-;\-* #,##0.00_-;_-* &quot;-&quot;??_-;_-@_-"/>
    <numFmt numFmtId="164" formatCode="[$-F400]h:mm:ss\ AM/PM"/>
    <numFmt numFmtId="165" formatCode="_(* #,##0.00_);_(* \(#,##0.00\);_(* &quot;-&quot;??_);_(@_)"/>
    <numFmt numFmtId="167" formatCode="_-* #,##0.0_-;\-* #,##0.0_-;_-* &quot;-&quot;??_-;_-@_-"/>
    <numFmt numFmtId="168" formatCode="_-* #,##0.0000_-;\-* #,##0.0000_-;_-* &quot;-&quot;??_-;_-@_-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4" tint="-0.249977111117893"/>
      <name val="Calibri"/>
      <family val="2"/>
      <scheme val="minor"/>
    </font>
    <font>
      <i/>
      <u/>
      <sz val="10"/>
      <color theme="4" tint="-0.249977111117893"/>
      <name val="Calibri"/>
      <family val="2"/>
      <scheme val="minor"/>
    </font>
    <font>
      <i/>
      <sz val="8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3"/>
      <name val="Calibri"/>
      <family val="2"/>
    </font>
    <font>
      <b/>
      <sz val="10"/>
      <color theme="1"/>
      <name val="Calibri"/>
      <family val="2"/>
    </font>
    <font>
      <b/>
      <sz val="10"/>
      <color theme="3"/>
      <name val="Calibri"/>
      <family val="2"/>
    </font>
    <font>
      <b/>
      <sz val="10"/>
      <color rgb="FFFF0000"/>
      <name val="Calibri"/>
      <family val="2"/>
    </font>
    <font>
      <i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</font>
    <font>
      <b/>
      <i/>
      <sz val="10"/>
      <color rgb="FFFF0000"/>
      <name val="Calibri"/>
      <family val="2"/>
    </font>
    <font>
      <i/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i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36" fillId="0" borderId="9" applyNumberFormat="0" applyFill="0" applyAlignment="0" applyProtection="0"/>
    <xf numFmtId="0" fontId="37" fillId="0" borderId="10" applyNumberFormat="0" applyFill="0" applyAlignment="0" applyProtection="0"/>
    <xf numFmtId="0" fontId="5" fillId="11" borderId="0" applyNumberFormat="0" applyBorder="0" applyAlignment="0" applyProtection="0"/>
    <xf numFmtId="0" fontId="3" fillId="0" borderId="0"/>
    <xf numFmtId="0" fontId="44" fillId="0" borderId="0" applyNumberFormat="0" applyFill="0" applyBorder="0" applyAlignment="0" applyProtection="0"/>
    <xf numFmtId="0" fontId="2" fillId="0" borderId="0"/>
  </cellStyleXfs>
  <cellXfs count="208">
    <xf numFmtId="0" fontId="0" fillId="0" borderId="0" xfId="0"/>
    <xf numFmtId="0" fontId="15" fillId="0" borderId="0" xfId="0" applyFont="1"/>
    <xf numFmtId="0" fontId="18" fillId="0" borderId="0" xfId="0" applyFont="1"/>
    <xf numFmtId="43" fontId="0" fillId="0" borderId="0" xfId="1" applyFont="1"/>
    <xf numFmtId="0" fontId="16" fillId="3" borderId="1" xfId="0" applyFont="1" applyFill="1" applyBorder="1"/>
    <xf numFmtId="0" fontId="0" fillId="0" borderId="0" xfId="0" applyFont="1"/>
    <xf numFmtId="0" fontId="0" fillId="0" borderId="0" xfId="0" applyFont="1" applyAlignment="1">
      <alignment horizontal="left"/>
    </xf>
    <xf numFmtId="0" fontId="14" fillId="0" borderId="0" xfId="0" applyFont="1"/>
    <xf numFmtId="49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43" fontId="22" fillId="2" borderId="0" xfId="1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9" fontId="22" fillId="2" borderId="0" xfId="2" applyFont="1" applyFill="1" applyAlignment="1">
      <alignment vertical="center"/>
    </xf>
    <xf numFmtId="0" fontId="20" fillId="7" borderId="2" xfId="0" applyFont="1" applyFill="1" applyBorder="1" applyAlignment="1">
      <alignment horizontal="center" vertical="center"/>
    </xf>
    <xf numFmtId="43" fontId="20" fillId="7" borderId="2" xfId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0" fillId="7" borderId="1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/>
    </xf>
    <xf numFmtId="14" fontId="14" fillId="0" borderId="0" xfId="0" applyNumberFormat="1" applyFont="1" applyFill="1" applyBorder="1" applyAlignment="1">
      <alignment horizontal="center" vertical="center"/>
    </xf>
    <xf numFmtId="9" fontId="14" fillId="0" borderId="0" xfId="2" applyFont="1" applyFill="1" applyBorder="1" applyAlignment="1">
      <alignment horizontal="center" vertical="center"/>
    </xf>
    <xf numFmtId="43" fontId="22" fillId="5" borderId="0" xfId="1" applyFont="1" applyFill="1" applyBorder="1" applyAlignment="1">
      <alignment horizontal="center" vertical="center"/>
    </xf>
    <xf numFmtId="9" fontId="14" fillId="9" borderId="0" xfId="2" applyFont="1" applyFill="1" applyBorder="1" applyAlignment="1">
      <alignment horizontal="right" vertical="center"/>
    </xf>
    <xf numFmtId="9" fontId="21" fillId="9" borderId="0" xfId="2" applyFont="1" applyFill="1" applyBorder="1" applyAlignment="1">
      <alignment horizontal="right" vertical="center"/>
    </xf>
    <xf numFmtId="165" fontId="14" fillId="1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3" fontId="14" fillId="0" borderId="0" xfId="0" applyNumberFormat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vertical="center"/>
    </xf>
    <xf numFmtId="14" fontId="14" fillId="0" borderId="0" xfId="0" applyNumberFormat="1" applyFont="1" applyFill="1" applyBorder="1" applyAlignment="1">
      <alignment vertical="center"/>
    </xf>
    <xf numFmtId="9" fontId="14" fillId="0" borderId="0" xfId="2" applyFont="1" applyFill="1" applyBorder="1" applyAlignment="1">
      <alignment vertical="center"/>
    </xf>
    <xf numFmtId="43" fontId="18" fillId="6" borderId="0" xfId="1" applyFont="1" applyFill="1"/>
    <xf numFmtId="0" fontId="28" fillId="0" borderId="4" xfId="0" applyFont="1" applyBorder="1" applyAlignment="1">
      <alignment vertical="center" wrapText="1"/>
    </xf>
    <xf numFmtId="17" fontId="28" fillId="0" borderId="4" xfId="0" applyNumberFormat="1" applyFont="1" applyBorder="1" applyAlignment="1">
      <alignment vertical="center" wrapText="1"/>
    </xf>
    <xf numFmtId="8" fontId="28" fillId="0" borderId="4" xfId="0" applyNumberFormat="1" applyFont="1" applyBorder="1" applyAlignment="1">
      <alignment vertical="center" wrapText="1"/>
    </xf>
    <xf numFmtId="0" fontId="26" fillId="0" borderId="0" xfId="0" applyFont="1"/>
    <xf numFmtId="9" fontId="27" fillId="0" borderId="0" xfId="2" applyFont="1"/>
    <xf numFmtId="0" fontId="27" fillId="0" borderId="0" xfId="0" applyFont="1"/>
    <xf numFmtId="0" fontId="29" fillId="0" borderId="0" xfId="0" applyFont="1"/>
    <xf numFmtId="0" fontId="31" fillId="0" borderId="0" xfId="0" applyFont="1"/>
    <xf numFmtId="0" fontId="21" fillId="0" borderId="0" xfId="0" applyFont="1" applyFill="1" applyBorder="1" applyAlignment="1">
      <alignment horizontal="center" vertical="center"/>
    </xf>
    <xf numFmtId="0" fontId="33" fillId="0" borderId="0" xfId="0" applyFont="1"/>
    <xf numFmtId="0" fontId="13" fillId="4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vertical="center"/>
    </xf>
    <xf numFmtId="14" fontId="13" fillId="0" borderId="0" xfId="0" applyNumberFormat="1" applyFont="1" applyFill="1" applyBorder="1" applyAlignment="1">
      <alignment vertical="center"/>
    </xf>
    <xf numFmtId="9" fontId="13" fillId="0" borderId="0" xfId="2" applyFont="1" applyFill="1" applyBorder="1" applyAlignment="1">
      <alignment vertical="center"/>
    </xf>
    <xf numFmtId="0" fontId="13" fillId="0" borderId="0" xfId="0" applyFont="1"/>
    <xf numFmtId="9" fontId="13" fillId="9" borderId="0" xfId="2" applyFont="1" applyFill="1" applyBorder="1" applyAlignment="1">
      <alignment horizontal="right" vertical="center"/>
    </xf>
    <xf numFmtId="165" fontId="13" fillId="10" borderId="0" xfId="0" applyNumberFormat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4" fontId="13" fillId="0" borderId="0" xfId="0" applyNumberFormat="1" applyFont="1" applyFill="1" applyBorder="1" applyAlignment="1">
      <alignment horizontal="center" vertical="center"/>
    </xf>
    <xf numFmtId="9" fontId="13" fillId="0" borderId="0" xfId="2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43" fontId="25" fillId="0" borderId="0" xfId="1" applyFont="1"/>
    <xf numFmtId="0" fontId="0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12" fillId="0" borderId="0" xfId="0" applyFont="1"/>
    <xf numFmtId="0" fontId="34" fillId="0" borderId="0" xfId="0" applyFont="1" applyFill="1" applyBorder="1" applyAlignment="1">
      <alignment horizontal="center" vertical="center"/>
    </xf>
    <xf numFmtId="43" fontId="34" fillId="0" borderId="0" xfId="1" applyFont="1" applyFill="1" applyBorder="1" applyAlignment="1">
      <alignment horizontal="center" vertical="center"/>
    </xf>
    <xf numFmtId="0" fontId="34" fillId="4" borderId="0" xfId="0" applyFont="1" applyFill="1" applyBorder="1" applyAlignment="1">
      <alignment horizontal="left" vertical="center"/>
    </xf>
    <xf numFmtId="14" fontId="34" fillId="0" borderId="0" xfId="0" applyNumberFormat="1" applyFont="1" applyFill="1" applyBorder="1" applyAlignment="1">
      <alignment horizontal="center" vertical="center"/>
    </xf>
    <xf numFmtId="9" fontId="34" fillId="0" borderId="0" xfId="2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18" fillId="6" borderId="2" xfId="0" applyFont="1" applyFill="1" applyBorder="1"/>
    <xf numFmtId="43" fontId="19" fillId="6" borderId="2" xfId="0" applyNumberFormat="1" applyFont="1" applyFill="1" applyBorder="1"/>
    <xf numFmtId="0" fontId="18" fillId="2" borderId="2" xfId="0" applyFont="1" applyFill="1" applyBorder="1"/>
    <xf numFmtId="43" fontId="18" fillId="2" borderId="2" xfId="1" applyFont="1" applyFill="1" applyBorder="1"/>
    <xf numFmtId="43" fontId="9" fillId="0" borderId="0" xfId="1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/>
    <xf numFmtId="43" fontId="25" fillId="0" borderId="0" xfId="1" applyFont="1" applyFill="1" applyBorder="1" applyAlignment="1">
      <alignment horizontal="center" vertical="center"/>
    </xf>
    <xf numFmtId="165" fontId="22" fillId="2" borderId="1" xfId="0" applyNumberFormat="1" applyFont="1" applyFill="1" applyBorder="1" applyAlignment="1">
      <alignment vertical="center"/>
    </xf>
    <xf numFmtId="0" fontId="7" fillId="0" borderId="0" xfId="0" applyFont="1"/>
    <xf numFmtId="165" fontId="13" fillId="1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3" fontId="13" fillId="0" borderId="1" xfId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14" fontId="13" fillId="0" borderId="1" xfId="0" applyNumberFormat="1" applyFont="1" applyFill="1" applyBorder="1" applyAlignment="1">
      <alignment horizontal="center" vertical="center"/>
    </xf>
    <xf numFmtId="9" fontId="13" fillId="0" borderId="1" xfId="2" applyFont="1" applyFill="1" applyBorder="1" applyAlignment="1">
      <alignment horizontal="center" vertical="center"/>
    </xf>
    <xf numFmtId="43" fontId="22" fillId="5" borderId="1" xfId="1" applyFont="1" applyFill="1" applyBorder="1" applyAlignment="1">
      <alignment horizontal="center" vertical="center"/>
    </xf>
    <xf numFmtId="0" fontId="16" fillId="3" borderId="2" xfId="3" applyFont="1" applyFill="1" applyBorder="1"/>
    <xf numFmtId="0" fontId="35" fillId="0" borderId="0" xfId="3" applyFont="1"/>
    <xf numFmtId="0" fontId="6" fillId="0" borderId="0" xfId="3" applyFont="1"/>
    <xf numFmtId="0" fontId="38" fillId="0" borderId="9" xfId="5" applyFont="1"/>
    <xf numFmtId="0" fontId="37" fillId="11" borderId="0" xfId="7" applyFont="1"/>
    <xf numFmtId="0" fontId="40" fillId="0" borderId="0" xfId="0" applyFont="1"/>
    <xf numFmtId="43" fontId="7" fillId="0" borderId="0" xfId="1" applyFont="1"/>
    <xf numFmtId="43" fontId="7" fillId="0" borderId="0" xfId="0" applyNumberFormat="1" applyFont="1"/>
    <xf numFmtId="43" fontId="0" fillId="0" borderId="0" xfId="0" applyNumberFormat="1" applyFont="1"/>
    <xf numFmtId="43" fontId="22" fillId="2" borderId="0" xfId="0" applyNumberFormat="1" applyFont="1" applyFill="1"/>
    <xf numFmtId="43" fontId="37" fillId="2" borderId="10" xfId="6" applyNumberFormat="1" applyFill="1"/>
    <xf numFmtId="0" fontId="37" fillId="0" borderId="10" xfId="6"/>
    <xf numFmtId="0" fontId="37" fillId="2" borderId="10" xfId="6" applyFill="1"/>
    <xf numFmtId="0" fontId="38" fillId="0" borderId="9" xfId="5" applyFont="1" applyAlignment="1">
      <alignment horizontal="center"/>
    </xf>
    <xf numFmtId="0" fontId="39" fillId="12" borderId="0" xfId="7" applyFont="1" applyFill="1"/>
    <xf numFmtId="10" fontId="42" fillId="12" borderId="0" xfId="2" applyNumberFormat="1" applyFont="1" applyFill="1"/>
    <xf numFmtId="0" fontId="6" fillId="0" borderId="0" xfId="3" applyFont="1" applyAlignment="1">
      <alignment horizontal="center"/>
    </xf>
    <xf numFmtId="43" fontId="7" fillId="0" borderId="0" xfId="4" applyFont="1" applyAlignment="1">
      <alignment horizontal="left"/>
    </xf>
    <xf numFmtId="0" fontId="6" fillId="0" borderId="0" xfId="3" applyFont="1" applyFill="1" applyAlignment="1">
      <alignment horizontal="left"/>
    </xf>
    <xf numFmtId="0" fontId="4" fillId="0" borderId="0" xfId="3" applyFont="1" applyFill="1" applyAlignment="1">
      <alignment horizontal="left"/>
    </xf>
    <xf numFmtId="43" fontId="7" fillId="4" borderId="0" xfId="0" applyNumberFormat="1" applyFont="1" applyFill="1"/>
    <xf numFmtId="43" fontId="7" fillId="4" borderId="0" xfId="1" applyFont="1" applyFill="1"/>
    <xf numFmtId="0" fontId="43" fillId="13" borderId="0" xfId="0" applyFont="1" applyFill="1"/>
    <xf numFmtId="0" fontId="7" fillId="13" borderId="0" xfId="0" applyFont="1" applyFill="1"/>
    <xf numFmtId="0" fontId="40" fillId="13" borderId="0" xfId="0" applyFont="1" applyFill="1"/>
    <xf numFmtId="0" fontId="37" fillId="13" borderId="0" xfId="7" applyFont="1" applyFill="1"/>
    <xf numFmtId="43" fontId="7" fillId="10" borderId="0" xfId="0" applyNumberFormat="1" applyFont="1" applyFill="1"/>
    <xf numFmtId="43" fontId="7" fillId="10" borderId="0" xfId="1" applyFont="1" applyFill="1"/>
    <xf numFmtId="0" fontId="3" fillId="0" borderId="0" xfId="8"/>
    <xf numFmtId="0" fontId="7" fillId="4" borderId="0" xfId="8" applyFont="1" applyFill="1" applyBorder="1" applyAlignment="1">
      <alignment horizontal="left" vertical="center"/>
    </xf>
    <xf numFmtId="0" fontId="21" fillId="4" borderId="0" xfId="8" applyFont="1" applyFill="1" applyBorder="1" applyAlignment="1">
      <alignment horizontal="left" vertical="center"/>
    </xf>
    <xf numFmtId="165" fontId="22" fillId="0" borderId="0" xfId="0" applyNumberFormat="1" applyFont="1"/>
    <xf numFmtId="0" fontId="7" fillId="4" borderId="0" xfId="0" applyFont="1" applyFill="1" applyBorder="1" applyAlignment="1">
      <alignment horizontal="left" vertical="center"/>
    </xf>
    <xf numFmtId="0" fontId="37" fillId="16" borderId="0" xfId="7" applyFont="1" applyFill="1"/>
    <xf numFmtId="43" fontId="7" fillId="15" borderId="0" xfId="1" applyFont="1" applyFill="1"/>
    <xf numFmtId="0" fontId="37" fillId="17" borderId="0" xfId="7" applyFont="1" applyFill="1"/>
    <xf numFmtId="43" fontId="7" fillId="14" borderId="0" xfId="1" applyFont="1" applyFill="1"/>
    <xf numFmtId="0" fontId="2" fillId="0" borderId="0" xfId="10"/>
    <xf numFmtId="4" fontId="39" fillId="2" borderId="2" xfId="10" applyNumberFormat="1" applyFont="1" applyFill="1" applyBorder="1"/>
    <xf numFmtId="0" fontId="39" fillId="2" borderId="2" xfId="10" applyFont="1" applyFill="1" applyBorder="1"/>
    <xf numFmtId="4" fontId="2" fillId="0" borderId="0" xfId="10" applyNumberFormat="1"/>
    <xf numFmtId="4" fontId="37" fillId="2" borderId="2" xfId="10" applyNumberFormat="1" applyFont="1" applyFill="1" applyBorder="1"/>
    <xf numFmtId="0" fontId="37" fillId="2" borderId="2" xfId="10" applyFont="1" applyFill="1" applyBorder="1"/>
    <xf numFmtId="4" fontId="2" fillId="0" borderId="1" xfId="10" applyNumberFormat="1" applyBorder="1"/>
    <xf numFmtId="0" fontId="2" fillId="0" borderId="1" xfId="10" applyBorder="1"/>
    <xf numFmtId="0" fontId="44" fillId="0" borderId="0" xfId="9"/>
    <xf numFmtId="0" fontId="22" fillId="0" borderId="1" xfId="0" applyFont="1" applyBorder="1" applyAlignment="1">
      <alignment horizontal="center" vertical="center"/>
    </xf>
    <xf numFmtId="43" fontId="25" fillId="2" borderId="0" xfId="1" applyFont="1" applyFill="1" applyAlignment="1">
      <alignment horizontal="left" vertical="center"/>
    </xf>
    <xf numFmtId="0" fontId="46" fillId="0" borderId="0" xfId="0" applyFont="1"/>
    <xf numFmtId="49" fontId="47" fillId="0" borderId="2" xfId="0" applyNumberFormat="1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43" fontId="47" fillId="0" borderId="2" xfId="1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4" fontId="14" fillId="0" borderId="0" xfId="0" applyNumberFormat="1" applyFont="1" applyFill="1" applyBorder="1" applyAlignment="1">
      <alignment horizontal="right" vertical="center"/>
    </xf>
    <xf numFmtId="14" fontId="34" fillId="0" borderId="0" xfId="0" applyNumberFormat="1" applyFont="1" applyFill="1" applyBorder="1" applyAlignment="1">
      <alignment horizontal="right" vertical="center"/>
    </xf>
    <xf numFmtId="0" fontId="22" fillId="0" borderId="0" xfId="0" applyFont="1" applyBorder="1" applyAlignment="1">
      <alignment horizontal="right"/>
    </xf>
    <xf numFmtId="0" fontId="14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left" vertical="center"/>
    </xf>
    <xf numFmtId="43" fontId="22" fillId="0" borderId="0" xfId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43" fontId="22" fillId="0" borderId="1" xfId="1" applyFont="1" applyFill="1" applyBorder="1" applyAlignment="1">
      <alignment horizontal="center" vertical="center"/>
    </xf>
    <xf numFmtId="165" fontId="13" fillId="0" borderId="1" xfId="0" applyNumberFormat="1" applyFont="1" applyFill="1" applyBorder="1" applyAlignment="1">
      <alignment horizontal="center" vertical="center"/>
    </xf>
    <xf numFmtId="43" fontId="25" fillId="2" borderId="3" xfId="1" applyFont="1" applyFill="1" applyBorder="1" applyAlignment="1">
      <alignment horizontal="left" vertical="center"/>
    </xf>
    <xf numFmtId="0" fontId="18" fillId="0" borderId="0" xfId="0" applyFont="1" applyFill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46" fontId="0" fillId="0" borderId="0" xfId="0" applyNumberFormat="1" applyFill="1"/>
    <xf numFmtId="43" fontId="0" fillId="0" borderId="0" xfId="1" applyFont="1" applyFill="1"/>
    <xf numFmtId="168" fontId="0" fillId="0" borderId="0" xfId="1" applyNumberFormat="1" applyFont="1" applyFill="1"/>
    <xf numFmtId="43" fontId="18" fillId="0" borderId="0" xfId="1" applyFont="1" applyFill="1"/>
    <xf numFmtId="0" fontId="32" fillId="0" borderId="0" xfId="0" applyFont="1" applyFill="1"/>
    <xf numFmtId="0" fontId="33" fillId="0" borderId="0" xfId="0" applyFont="1" applyFill="1"/>
    <xf numFmtId="14" fontId="33" fillId="0" borderId="0" xfId="0" applyNumberFormat="1" applyFont="1" applyFill="1"/>
    <xf numFmtId="164" fontId="33" fillId="0" borderId="0" xfId="0" applyNumberFormat="1" applyFont="1" applyFill="1"/>
    <xf numFmtId="46" fontId="33" fillId="0" borderId="0" xfId="0" applyNumberFormat="1" applyFont="1" applyFill="1"/>
    <xf numFmtId="43" fontId="33" fillId="0" borderId="0" xfId="1" applyFont="1" applyFill="1"/>
    <xf numFmtId="0" fontId="26" fillId="0" borderId="0" xfId="0" applyFont="1" applyFill="1"/>
    <xf numFmtId="43" fontId="32" fillId="0" borderId="0" xfId="1" applyFont="1" applyFill="1"/>
    <xf numFmtId="46" fontId="18" fillId="0" borderId="0" xfId="0" applyNumberFormat="1" applyFont="1" applyFill="1"/>
    <xf numFmtId="0" fontId="32" fillId="0" borderId="1" xfId="0" applyFont="1" applyFill="1" applyBorder="1"/>
    <xf numFmtId="0" fontId="32" fillId="0" borderId="2" xfId="0" applyFont="1" applyBorder="1" applyAlignment="1">
      <alignment horizontal="center"/>
    </xf>
    <xf numFmtId="0" fontId="32" fillId="0" borderId="2" xfId="0" applyFont="1" applyFill="1" applyBorder="1"/>
    <xf numFmtId="0" fontId="47" fillId="0" borderId="2" xfId="0" applyFont="1" applyFill="1" applyBorder="1"/>
    <xf numFmtId="43" fontId="1" fillId="0" borderId="0" xfId="1" applyFont="1" applyFill="1"/>
    <xf numFmtId="0" fontId="18" fillId="0" borderId="3" xfId="0" applyFont="1" applyFill="1" applyBorder="1"/>
    <xf numFmtId="43" fontId="22" fillId="0" borderId="3" xfId="1" applyFont="1" applyFill="1" applyBorder="1"/>
    <xf numFmtId="43" fontId="18" fillId="0" borderId="3" xfId="1" applyFont="1" applyFill="1" applyBorder="1"/>
    <xf numFmtId="0" fontId="48" fillId="0" borderId="0" xfId="0" applyFont="1" applyFill="1"/>
    <xf numFmtId="0" fontId="34" fillId="0" borderId="0" xfId="0" applyFont="1" applyFill="1"/>
    <xf numFmtId="0" fontId="49" fillId="0" borderId="0" xfId="0" applyFont="1" applyFill="1"/>
    <xf numFmtId="0" fontId="32" fillId="0" borderId="2" xfId="0" applyFont="1" applyFill="1" applyBorder="1" applyAlignment="1">
      <alignment horizontal="center"/>
    </xf>
    <xf numFmtId="0" fontId="32" fillId="0" borderId="7" xfId="0" applyFont="1" applyFill="1" applyBorder="1" applyAlignment="1">
      <alignment horizontal="center" vertical="center"/>
    </xf>
    <xf numFmtId="10" fontId="33" fillId="0" borderId="6" xfId="2" applyNumberFormat="1" applyFont="1" applyFill="1" applyBorder="1"/>
    <xf numFmtId="0" fontId="47" fillId="0" borderId="1" xfId="0" applyFont="1" applyFill="1" applyBorder="1"/>
    <xf numFmtId="0" fontId="32" fillId="0" borderId="8" xfId="0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0" fontId="32" fillId="0" borderId="3" xfId="0" applyFont="1" applyFill="1" applyBorder="1"/>
    <xf numFmtId="0" fontId="47" fillId="0" borderId="3" xfId="0" applyFont="1" applyFill="1" applyBorder="1"/>
    <xf numFmtId="43" fontId="32" fillId="0" borderId="3" xfId="1" applyFont="1" applyFill="1" applyBorder="1"/>
    <xf numFmtId="0" fontId="32" fillId="0" borderId="2" xfId="0" applyFont="1" applyFill="1" applyBorder="1" applyAlignment="1">
      <alignment horizontal="right"/>
    </xf>
    <xf numFmtId="10" fontId="32" fillId="0" borderId="0" xfId="2" applyNumberFormat="1" applyFont="1" applyFill="1"/>
    <xf numFmtId="10" fontId="33" fillId="0" borderId="0" xfId="2" applyNumberFormat="1" applyFont="1" applyFill="1"/>
    <xf numFmtId="0" fontId="32" fillId="0" borderId="0" xfId="0" applyFont="1" applyFill="1" applyAlignment="1">
      <alignment horizontal="center"/>
    </xf>
    <xf numFmtId="0" fontId="32" fillId="0" borderId="1" xfId="0" applyFont="1" applyFill="1" applyBorder="1" applyAlignment="1">
      <alignment horizontal="center"/>
    </xf>
    <xf numFmtId="14" fontId="32" fillId="0" borderId="0" xfId="0" applyNumberFormat="1" applyFont="1" applyFill="1"/>
    <xf numFmtId="0" fontId="32" fillId="0" borderId="0" xfId="0" applyFont="1" applyFill="1" applyAlignment="1">
      <alignment horizontal="right"/>
    </xf>
    <xf numFmtId="167" fontId="32" fillId="0" borderId="0" xfId="1" applyNumberFormat="1" applyFont="1" applyFill="1"/>
    <xf numFmtId="14" fontId="33" fillId="0" borderId="1" xfId="0" applyNumberFormat="1" applyFont="1" applyFill="1" applyBorder="1"/>
    <xf numFmtId="167" fontId="32" fillId="0" borderId="3" xfId="1" applyNumberFormat="1" applyFont="1" applyFill="1" applyBorder="1"/>
  </cellXfs>
  <cellStyles count="11">
    <cellStyle name="20% - Ênfase1" xfId="7" builtinId="30"/>
    <cellStyle name="Normal" xfId="0" builtinId="0"/>
    <cellStyle name="Normal 2" xfId="3"/>
    <cellStyle name="Normal 3" xfId="8"/>
    <cellStyle name="Normal 4" xfId="10"/>
    <cellStyle name="Porcentagem" xfId="2" builtinId="5"/>
    <cellStyle name="Título" xfId="9" builtinId="15"/>
    <cellStyle name="Título 3" xfId="5" builtinId="18"/>
    <cellStyle name="Total" xfId="6" builtinId="25"/>
    <cellStyle name="Vírgula" xfId="1" builtinId="3"/>
    <cellStyle name="Vírgula 2" xfId="4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D19"/>
  <sheetViews>
    <sheetView tabSelected="1" workbookViewId="0">
      <selection activeCell="E8" sqref="E8"/>
    </sheetView>
  </sheetViews>
  <sheetFormatPr defaultRowHeight="15" x14ac:dyDescent="0.25"/>
  <cols>
    <col min="1" max="1" width="38.5703125" bestFit="1" customWidth="1"/>
    <col min="2" max="2" width="12" bestFit="1" customWidth="1"/>
  </cols>
  <sheetData>
    <row r="1" spans="1:4" ht="26.25" x14ac:dyDescent="0.4">
      <c r="A1" s="1" t="s">
        <v>63</v>
      </c>
    </row>
    <row r="2" spans="1:4" x14ac:dyDescent="0.25">
      <c r="A2" t="s">
        <v>0</v>
      </c>
    </row>
    <row r="5" spans="1:4" x14ac:dyDescent="0.25">
      <c r="A5" s="4" t="s">
        <v>64</v>
      </c>
      <c r="B5" s="4" t="s">
        <v>67</v>
      </c>
    </row>
    <row r="6" spans="1:4" x14ac:dyDescent="0.25">
      <c r="A6" t="s">
        <v>65</v>
      </c>
      <c r="B6" s="3">
        <f>'(a) Investimentos'!J4</f>
        <v>16180.070000000003</v>
      </c>
      <c r="C6" s="43" t="s">
        <v>329</v>
      </c>
    </row>
    <row r="7" spans="1:4" x14ac:dyDescent="0.25">
      <c r="A7" t="s">
        <v>66</v>
      </c>
      <c r="B7" s="3">
        <f>'(a) Investimentos'!J5</f>
        <v>257166.11973972683</v>
      </c>
      <c r="C7" s="43" t="s">
        <v>330</v>
      </c>
    </row>
    <row r="8" spans="1:4" x14ac:dyDescent="0.25">
      <c r="A8" t="s">
        <v>295</v>
      </c>
      <c r="B8" s="3">
        <f>'(b) Timesheet consolidado'!K7</f>
        <v>6980.2545393848568</v>
      </c>
      <c r="C8" s="43" t="s">
        <v>71</v>
      </c>
      <c r="D8" s="39"/>
    </row>
    <row r="9" spans="1:4" x14ac:dyDescent="0.25">
      <c r="A9" t="s">
        <v>296</v>
      </c>
      <c r="B9" s="3">
        <f>'(c) Dedicação exclusiva'!Q13</f>
        <v>154995.32033333339</v>
      </c>
      <c r="C9" s="43" t="s">
        <v>72</v>
      </c>
    </row>
    <row r="10" spans="1:4" x14ac:dyDescent="0.25">
      <c r="A10" s="72" t="s">
        <v>67</v>
      </c>
      <c r="B10" s="73">
        <f>SUM(B6:B9)</f>
        <v>435321.76461244508</v>
      </c>
    </row>
    <row r="11" spans="1:4" x14ac:dyDescent="0.25">
      <c r="A11" s="41" t="s">
        <v>68</v>
      </c>
      <c r="B11" s="40">
        <v>0.6</v>
      </c>
    </row>
    <row r="12" spans="1:4" x14ac:dyDescent="0.25">
      <c r="A12" t="s">
        <v>69</v>
      </c>
      <c r="B12" s="3">
        <f>B10*B11</f>
        <v>261193.05876746704</v>
      </c>
    </row>
    <row r="14" spans="1:4" x14ac:dyDescent="0.25">
      <c r="A14" s="70" t="s">
        <v>70</v>
      </c>
      <c r="B14" s="71">
        <f>B12*34%</f>
        <v>88805.639980938795</v>
      </c>
    </row>
    <row r="16" spans="1:4" x14ac:dyDescent="0.25">
      <c r="A16" s="42" t="s">
        <v>328</v>
      </c>
    </row>
    <row r="17" spans="1:1" x14ac:dyDescent="0.25">
      <c r="A17" s="42" t="s">
        <v>327</v>
      </c>
    </row>
    <row r="18" spans="1:1" x14ac:dyDescent="0.25">
      <c r="A18" s="42" t="s">
        <v>331</v>
      </c>
    </row>
    <row r="19" spans="1:1" x14ac:dyDescent="0.25">
      <c r="A19" s="42" t="s">
        <v>313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54"/>
  <sheetViews>
    <sheetView workbookViewId="0">
      <selection activeCell="D13" sqref="D13"/>
    </sheetView>
  </sheetViews>
  <sheetFormatPr defaultRowHeight="12.75" x14ac:dyDescent="0.2"/>
  <cols>
    <col min="1" max="1" width="27" style="80" bestFit="1" customWidth="1"/>
    <col min="2" max="2" width="13.5703125" style="80" bestFit="1" customWidth="1"/>
    <col min="3" max="3" width="19.140625" style="80" bestFit="1" customWidth="1"/>
    <col min="4" max="4" width="13.5703125" style="80" customWidth="1"/>
    <col min="5" max="5" width="19.140625" style="80" customWidth="1"/>
    <col min="6" max="6" width="17.5703125" style="80" customWidth="1"/>
    <col min="7" max="7" width="18" style="80" bestFit="1" customWidth="1"/>
    <col min="8" max="8" width="10" style="80" customWidth="1"/>
    <col min="9" max="9" width="11" style="80" customWidth="1"/>
    <col min="10" max="10" width="14.5703125" style="80" bestFit="1" customWidth="1"/>
    <col min="11" max="11" width="19.140625" style="80" bestFit="1" customWidth="1"/>
    <col min="12" max="13" width="17.5703125" style="80" bestFit="1" customWidth="1"/>
    <col min="14" max="14" width="10.85546875" style="80" customWidth="1"/>
    <col min="15" max="16384" width="9.140625" style="80"/>
  </cols>
  <sheetData>
    <row r="1" spans="1:6" customFormat="1" ht="26.25" x14ac:dyDescent="0.4">
      <c r="A1" s="1" t="s">
        <v>345</v>
      </c>
    </row>
    <row r="2" spans="1:6" customFormat="1" ht="15" x14ac:dyDescent="0.25">
      <c r="A2" s="2" t="s">
        <v>0</v>
      </c>
    </row>
    <row r="3" spans="1:6" customFormat="1" ht="15" x14ac:dyDescent="0.25">
      <c r="A3" s="41" t="s">
        <v>344</v>
      </c>
    </row>
    <row r="6" spans="1:6" ht="13.5" thickBot="1" x14ac:dyDescent="0.25">
      <c r="A6" s="104" t="s">
        <v>353</v>
      </c>
      <c r="B6" s="94" t="s">
        <v>346</v>
      </c>
      <c r="C6" s="94" t="s">
        <v>90</v>
      </c>
      <c r="D6" s="94" t="s">
        <v>347</v>
      </c>
      <c r="E6" s="94" t="s">
        <v>347</v>
      </c>
      <c r="F6" s="94" t="s">
        <v>67</v>
      </c>
    </row>
    <row r="7" spans="1:6" x14ac:dyDescent="0.2">
      <c r="A7" s="95" t="s">
        <v>348</v>
      </c>
      <c r="B7" s="98">
        <f>SUM('(c) Dedicação exclusiva'!$E$10:$P$12)*B15</f>
        <v>58223.603539068543</v>
      </c>
      <c r="C7" s="98">
        <f>SUM('(c) Dedicação exclusiva'!$E$10:$P$12)*C15</f>
        <v>28806.105428522093</v>
      </c>
      <c r="D7" s="98">
        <f>SUM('(c) Dedicação exclusiva'!$E$10:$P$12)*D15</f>
        <v>40236.433270747904</v>
      </c>
      <c r="E7" s="98">
        <f>SUM('(c) Dedicação exclusiva'!$E$10:$P$12)*E15</f>
        <v>27729.178094994797</v>
      </c>
      <c r="F7" s="100">
        <f t="shared" ref="F7:F15" si="0">SUM(B7:E7)</f>
        <v>154995.32033333334</v>
      </c>
    </row>
    <row r="8" spans="1:6" x14ac:dyDescent="0.2">
      <c r="A8" s="95" t="s">
        <v>349</v>
      </c>
      <c r="B8" s="98">
        <f>SUM('(b) Timesheet consolidado'!$K$9:$K$71)*B15</f>
        <v>2622.1151195332154</v>
      </c>
      <c r="C8" s="98">
        <f>SUM('(b) Timesheet consolidado'!$K$9:$K$71)*C15</f>
        <v>1297.2904455890018</v>
      </c>
      <c r="D8" s="98">
        <f>SUM('(b) Timesheet consolidado'!$K$9:$K$71)*D15</f>
        <v>1812.0582310664249</v>
      </c>
      <c r="E8" s="98">
        <f>SUM('(b) Timesheet consolidado'!$K$9:$K$71)*E15</f>
        <v>1248.7907431962135</v>
      </c>
      <c r="F8" s="100">
        <f t="shared" si="0"/>
        <v>6980.2545393848559</v>
      </c>
    </row>
    <row r="9" spans="1:6" x14ac:dyDescent="0.2">
      <c r="A9" s="95" t="s">
        <v>65</v>
      </c>
      <c r="B9" s="97">
        <f>SUMIF('(a) Investimentos'!$I$8:$I$114,$A9,'(a) Investimentos'!W$8:W$114)</f>
        <v>7378.48</v>
      </c>
      <c r="C9" s="97">
        <f>SUMIF('(a) Investimentos'!$I$8:$I$114,$A9,'(a) Investimentos'!X$8:X$114)</f>
        <v>895.15000000000009</v>
      </c>
      <c r="D9" s="97">
        <f>SUMIF('(a) Investimentos'!$I$8:$I$114,$A9,'(a) Investimentos'!Y$8:Y$114)</f>
        <v>2798.9800000000005</v>
      </c>
      <c r="E9" s="97">
        <f>SUMIF('(a) Investimentos'!$I$8:$I$114,$A9,'(a) Investimentos'!Z$8:Z$114)</f>
        <v>0</v>
      </c>
      <c r="F9" s="100">
        <f t="shared" si="0"/>
        <v>11072.61</v>
      </c>
    </row>
    <row r="10" spans="1:6" x14ac:dyDescent="0.2">
      <c r="A10" s="95" t="s">
        <v>350</v>
      </c>
      <c r="B10" s="97">
        <f>SUMIFS('(a) Investimentos'!W8:W114,'(a) Investimentos'!$I$8:$I$114,"Terceiros")</f>
        <v>83866.464691666712</v>
      </c>
      <c r="C10" s="97">
        <f>SUMIFS('(a) Investimentos'!X8:X114,'(a) Investimentos'!$I$8:$I$114,"Terceiros")</f>
        <v>43737.234264726663</v>
      </c>
      <c r="D10" s="97">
        <f>SUMIFS('(a) Investimentos'!Y8:Y114,'(a) Investimentos'!$I$8:$I$114,"Terceiros")</f>
        <v>59543.635375000027</v>
      </c>
      <c r="E10" s="97">
        <f>SUMIFS('(a) Investimentos'!Z8:Z114,'(a) Investimentos'!$I$8:$I$114,"Terceiros")</f>
        <v>42963.785408333337</v>
      </c>
      <c r="F10" s="100">
        <f t="shared" si="0"/>
        <v>230111.11973972677</v>
      </c>
    </row>
    <row r="11" spans="1:6" x14ac:dyDescent="0.2">
      <c r="A11" s="124" t="s">
        <v>360</v>
      </c>
      <c r="B11" s="125">
        <f>SUMIFS('(a) Investimentos'!$N$8:$N$114,'(a) Investimentos'!$E$8:$E$114,"ILSI",'(a) Investimentos'!$I$8:$I$114,"Terceiros")*B15</f>
        <v>10163.142928197993</v>
      </c>
      <c r="C11" s="125">
        <f>SUMIFS('(a) Investimentos'!$N$8:$N$114,'(a) Investimentos'!$E$8:$E$114,"ILSI",'(a) Investimentos'!$I$8:$I$114,"Terceiros")*C15</f>
        <v>5028.2110498084376</v>
      </c>
      <c r="D11" s="125">
        <f>SUMIFS('(a) Investimentos'!$N$8:$N$114,'(a) Investimentos'!$E$8:$E$114,"ILSI",'(a) Investimentos'!$I$8:$I$114,"Terceiros")*D15</f>
        <v>7023.4165767001577</v>
      </c>
      <c r="E11" s="125">
        <f>SUMIFS('(a) Investimentos'!$N$8:$N$114,'(a) Investimentos'!$E$8:$E$114,"ILSI",'(a) Investimentos'!$I$8:$I$114,"Terceiros")*E15</f>
        <v>4840.2294452934084</v>
      </c>
      <c r="F11" s="100">
        <f t="shared" si="0"/>
        <v>27054.999999999996</v>
      </c>
    </row>
    <row r="12" spans="1:6" x14ac:dyDescent="0.2">
      <c r="A12" s="124" t="s">
        <v>359</v>
      </c>
      <c r="B12" s="125">
        <f>SUMIFS('(a) Investimentos'!$N$8:$N$114,'(a) Investimentos'!$E$8:$E$114,"ILSI",'(a) Investimentos'!$I$8:$I$114,"Material")*B15</f>
        <v>1918.6045455573501</v>
      </c>
      <c r="C12" s="125">
        <f>SUMIFS('(a) Investimentos'!$N$8:$N$114,'(a) Investimentos'!$E$8:$E$114,"ILSI",'(a) Investimentos'!$I$8:$I$114,"Material")*C15</f>
        <v>949.22886004267593</v>
      </c>
      <c r="D12" s="125">
        <f>SUMIFS('(a) Investimentos'!$N$8:$N$114,'(a) Investimentos'!$E$8:$E$114,"ILSI",'(a) Investimentos'!$I$8:$I$114,"Material")*D15</f>
        <v>1325.8850204706332</v>
      </c>
      <c r="E12" s="125">
        <f>SUMIFS('(a) Investimentos'!$N$8:$N$114,'(a) Investimentos'!$E$8:$E$114,"ILSI",'(a) Investimentos'!$I$8:$I$114,"Material")*E15</f>
        <v>913.74157392933898</v>
      </c>
      <c r="F12" s="100">
        <f t="shared" si="0"/>
        <v>5107.4599999999982</v>
      </c>
    </row>
    <row r="13" spans="1:6" x14ac:dyDescent="0.2">
      <c r="A13" s="126" t="s">
        <v>361</v>
      </c>
      <c r="B13" s="127">
        <f>B12+B9</f>
        <v>9297.084545557349</v>
      </c>
      <c r="C13" s="127">
        <f t="shared" ref="C13:E13" si="1">C12+C9</f>
        <v>1844.378860042676</v>
      </c>
      <c r="D13" s="127">
        <f t="shared" si="1"/>
        <v>4124.8650204706337</v>
      </c>
      <c r="E13" s="127">
        <f t="shared" si="1"/>
        <v>913.74157392933898</v>
      </c>
      <c r="F13" s="100">
        <f t="shared" si="0"/>
        <v>16180.069999999998</v>
      </c>
    </row>
    <row r="14" spans="1:6" ht="13.5" thickBot="1" x14ac:dyDescent="0.25">
      <c r="A14" s="103" t="s">
        <v>67</v>
      </c>
      <c r="B14" s="101">
        <f>SUM(B7:B12)</f>
        <v>164172.4108240238</v>
      </c>
      <c r="C14" s="101">
        <f t="shared" ref="C14:E14" si="2">SUM(C7:C12)</f>
        <v>80713.220048688861</v>
      </c>
      <c r="D14" s="101">
        <f t="shared" si="2"/>
        <v>112740.40847398515</v>
      </c>
      <c r="E14" s="101">
        <f t="shared" si="2"/>
        <v>77695.725265747096</v>
      </c>
      <c r="F14" s="101">
        <f t="shared" si="0"/>
        <v>435321.76461244491</v>
      </c>
    </row>
    <row r="15" spans="1:6" ht="13.5" thickTop="1" x14ac:dyDescent="0.2">
      <c r="A15" s="105" t="s">
        <v>351</v>
      </c>
      <c r="B15" s="106">
        <v>0.37564749318787627</v>
      </c>
      <c r="C15" s="106">
        <v>0.18585145258948207</v>
      </c>
      <c r="D15" s="106">
        <v>0.25959772968767908</v>
      </c>
      <c r="E15" s="106">
        <v>0.17890332453496241</v>
      </c>
      <c r="F15" s="106">
        <f t="shared" si="0"/>
        <v>0.99999999999999989</v>
      </c>
    </row>
    <row r="16" spans="1:6" x14ac:dyDescent="0.2">
      <c r="A16" s="96" t="s">
        <v>352</v>
      </c>
    </row>
    <row r="19" spans="1:14" ht="13.5" thickBot="1" x14ac:dyDescent="0.25">
      <c r="A19" s="104"/>
      <c r="B19" s="94" t="s">
        <v>346</v>
      </c>
      <c r="C19" s="94" t="s">
        <v>90</v>
      </c>
      <c r="D19" s="94" t="s">
        <v>347</v>
      </c>
      <c r="E19" s="94" t="s">
        <v>347</v>
      </c>
      <c r="F19" s="94" t="s">
        <v>357</v>
      </c>
      <c r="G19" s="94" t="s">
        <v>289</v>
      </c>
      <c r="H19" s="94" t="s">
        <v>20</v>
      </c>
      <c r="I19" s="94" t="s">
        <v>355</v>
      </c>
      <c r="J19" s="94" t="s">
        <v>346</v>
      </c>
      <c r="K19" s="94" t="s">
        <v>90</v>
      </c>
      <c r="L19" s="94" t="s">
        <v>347</v>
      </c>
      <c r="M19" s="94" t="s">
        <v>347</v>
      </c>
      <c r="N19" s="94" t="s">
        <v>358</v>
      </c>
    </row>
    <row r="20" spans="1:14" x14ac:dyDescent="0.2">
      <c r="A20" s="116" t="s">
        <v>21</v>
      </c>
      <c r="B20" s="117">
        <f>B$15*Salários!$Q$23</f>
        <v>17092.271318789619</v>
      </c>
      <c r="C20" s="117">
        <f>C$15*Salários!$Q$23</f>
        <v>8456.3946525841384</v>
      </c>
      <c r="D20" s="117">
        <f>D$15*Salários!$Q$23</f>
        <v>11811.911193413554</v>
      </c>
      <c r="E20" s="117">
        <f>E$15*Salários!$Q$23</f>
        <v>8140.2490852126875</v>
      </c>
      <c r="F20" s="100">
        <f t="shared" ref="F20" si="3">SUM(B20:E20)</f>
        <v>45500.826249999998</v>
      </c>
      <c r="G20" s="113" t="s">
        <v>354</v>
      </c>
      <c r="H20" s="114" t="str">
        <f>VLOOKUP($A20,'Informações RH'!$A$2:$D$9,2,FALSE)</f>
        <v>075.215.579-21</v>
      </c>
      <c r="I20" s="114" t="str">
        <f>VLOOKUP($A20,'Informações RH'!$A$2:$D$9,4,FALSE)</f>
        <v>Superior Completo</v>
      </c>
      <c r="J20" s="111">
        <f>'Dias úteis'!$H$20*B$15</f>
        <v>839.64727677354097</v>
      </c>
      <c r="K20" s="111">
        <f>'Dias úteis'!$H$20*C$15</f>
        <v>415.41516682801029</v>
      </c>
      <c r="L20" s="111">
        <f>'Dias úteis'!$H$20*D$15</f>
        <v>580.25284539790027</v>
      </c>
      <c r="M20" s="111">
        <f>'Dias úteis'!$H$20*E$15</f>
        <v>399.88471100054795</v>
      </c>
      <c r="N20" s="100">
        <f t="shared" ref="N20" si="4">SUM(J20:M20)</f>
        <v>2235.1999999999994</v>
      </c>
    </row>
    <row r="21" spans="1:14" x14ac:dyDescent="0.2">
      <c r="A21" s="116" t="s">
        <v>7</v>
      </c>
      <c r="B21" s="118">
        <f>SUMIF('(b) Timesheet consolidado'!$A$9:$A$71,$A21,'(b) Timesheet consolidado'!$K$9:$K$71)*B$15</f>
        <v>520.81936396690742</v>
      </c>
      <c r="C21" s="118">
        <f>SUMIF('(b) Timesheet consolidado'!$A$9:$A$71,$A21,'(b) Timesheet consolidado'!$K$9:$K$71)*C$15</f>
        <v>257.6751797504179</v>
      </c>
      <c r="D21" s="118">
        <f>SUMIF('(b) Timesheet consolidado'!$A$9:$A$71,$A21,'(b) Timesheet consolidado'!$K$9:$K$71)*D$15</f>
        <v>359.92127437296512</v>
      </c>
      <c r="E21" s="118">
        <f>SUMIF('(b) Timesheet consolidado'!$A$9:$A$71,$A21,'(b) Timesheet consolidado'!$K$9:$K$71)*E$15</f>
        <v>248.04189402446818</v>
      </c>
      <c r="F21" s="100">
        <f>SUM(B21:E21)</f>
        <v>1386.4577121147586</v>
      </c>
      <c r="G21" s="115" t="s">
        <v>291</v>
      </c>
      <c r="H21" s="114" t="str">
        <f>VLOOKUP($A21,'Informações RH'!$A$2:$D$9,2,FALSE)</f>
        <v>065.423.719-07</v>
      </c>
      <c r="I21" s="114" t="str">
        <f>VLOOKUP($A21,'Informações RH'!$A$2:$D$9,4,FALSE)</f>
        <v>Superior Completo</v>
      </c>
      <c r="J21" s="112">
        <f>SUMIF('(b) Timesheet consolidado'!$A$9:$A$71,$A21,'(b) Timesheet consolidado'!$G$9:$G$71)*B$15</f>
        <v>17.586563472745738</v>
      </c>
      <c r="K21" s="112">
        <f>SUMIF('(b) Timesheet consolidado'!$A$9:$A$71,$A21,'(b) Timesheet consolidado'!$G$9:$G$71)*C$15</f>
        <v>8.7009455053975859</v>
      </c>
      <c r="L21" s="112">
        <f>SUMIF('(b) Timesheet consolidado'!$A$9:$A$71,$A21,'(b) Timesheet consolidado'!$G$9:$G$71)*D$15</f>
        <v>12.153500378211508</v>
      </c>
      <c r="M21" s="112">
        <f>SUMIF('(b) Timesheet consolidado'!$A$9:$A$71,$A21,'(b) Timesheet consolidado'!$G$9:$G$71)*E$15</f>
        <v>8.3756573103118228</v>
      </c>
      <c r="N21" s="100">
        <f>SUM(J21:M21)</f>
        <v>46.816666666666649</v>
      </c>
    </row>
    <row r="22" spans="1:14" x14ac:dyDescent="0.2">
      <c r="A22" s="116" t="s">
        <v>25</v>
      </c>
      <c r="B22" s="118">
        <f>Salários!$Q$25*B$15</f>
        <v>33144.618618076973</v>
      </c>
      <c r="C22" s="118">
        <f>Salários!$Q$25*C$15</f>
        <v>16398.287297003597</v>
      </c>
      <c r="D22" s="118">
        <f>Salários!$Q$25*D$15</f>
        <v>22905.164817147932</v>
      </c>
      <c r="E22" s="118">
        <f>Salários!$Q$25*E$15</f>
        <v>15785.231017771524</v>
      </c>
      <c r="F22" s="100">
        <f>SUM(B22:E22)</f>
        <v>88233.301750000028</v>
      </c>
      <c r="G22" s="113" t="s">
        <v>354</v>
      </c>
      <c r="H22" s="114" t="str">
        <f>VLOOKUP($A22,'Informações RH'!$A$2:$D$9,2,FALSE)</f>
        <v>058.544.839-63</v>
      </c>
      <c r="I22" s="114" t="str">
        <f>VLOOKUP($A22,'Informações RH'!$A$2:$D$9,4,FALSE)</f>
        <v>Superior Completo</v>
      </c>
      <c r="J22" s="111">
        <f>'Dias úteis'!$H$20*B$15</f>
        <v>839.64727677354097</v>
      </c>
      <c r="K22" s="111">
        <f>'Dias úteis'!$H$20*C$15</f>
        <v>415.41516682801029</v>
      </c>
      <c r="L22" s="111">
        <f>'Dias úteis'!$H$20*D$15</f>
        <v>580.25284539790027</v>
      </c>
      <c r="M22" s="111">
        <f>'Dias úteis'!$H$20*E$15</f>
        <v>399.88471100054795</v>
      </c>
      <c r="N22" s="100">
        <f>SUM(J22:M22)</f>
        <v>2235.1999999999994</v>
      </c>
    </row>
    <row r="23" spans="1:14" x14ac:dyDescent="0.2">
      <c r="A23" s="116" t="s">
        <v>13</v>
      </c>
      <c r="B23" s="118">
        <f>SUMIF('(b) Timesheet consolidado'!$A$9:$A$71,$A23,'(b) Timesheet consolidado'!$K$9:$K$71)*B$15</f>
        <v>170.93790207486441</v>
      </c>
      <c r="C23" s="118">
        <f>SUMIF('(b) Timesheet consolidado'!$A$9:$A$71,$A23,'(b) Timesheet consolidado'!$K$9:$K$71)*C$15</f>
        <v>84.571461221819533</v>
      </c>
      <c r="D23" s="118">
        <f>SUMIF('(b) Timesheet consolidado'!$A$9:$A$71,$A23,'(b) Timesheet consolidado'!$K$9:$K$71)*D$15</f>
        <v>118.12960847848879</v>
      </c>
      <c r="E23" s="118">
        <f>SUMIF('(b) Timesheet consolidado'!$A$9:$A$71,$A23,'(b) Timesheet consolidado'!$K$9:$K$71)*E$15</f>
        <v>81.409724608304884</v>
      </c>
      <c r="F23" s="100">
        <f t="shared" ref="F23:F27" si="5">SUM(B23:E23)</f>
        <v>455.04869638347765</v>
      </c>
      <c r="G23" s="115" t="s">
        <v>291</v>
      </c>
      <c r="H23" s="114" t="str">
        <f>VLOOKUP($A23,'Informações RH'!$A$2:$D$9,2,FALSE)</f>
        <v>039.677.159-90</v>
      </c>
      <c r="I23" s="114" t="str">
        <f>VLOOKUP($A23,'Informações RH'!$A$2:$D$9,4,FALSE)</f>
        <v>Técnico</v>
      </c>
      <c r="J23" s="112">
        <f>SUMIF('(b) Timesheet consolidado'!$A$9:$A$71,$A23,'(b) Timesheet consolidado'!$G$9:$G$71)*B$15</f>
        <v>9.0155398365090313</v>
      </c>
      <c r="K23" s="112">
        <f>SUMIF('(b) Timesheet consolidado'!$A$9:$A$71,$A23,'(b) Timesheet consolidado'!$G$9:$G$71)*C$15</f>
        <v>4.4604348621475696</v>
      </c>
      <c r="L23" s="112">
        <f>SUMIF('(b) Timesheet consolidado'!$A$9:$A$71,$A23,'(b) Timesheet consolidado'!$G$9:$G$71)*D$15</f>
        <v>6.2303455125042984</v>
      </c>
      <c r="M23" s="112">
        <f>SUMIF('(b) Timesheet consolidado'!$A$9:$A$71,$A23,'(b) Timesheet consolidado'!$G$9:$G$71)*E$15</f>
        <v>4.2936797888390981</v>
      </c>
      <c r="N23" s="100">
        <f t="shared" ref="N23:N27" si="6">SUM(J23:M23)</f>
        <v>24</v>
      </c>
    </row>
    <row r="24" spans="1:14" x14ac:dyDescent="0.2">
      <c r="A24" s="116" t="s">
        <v>28</v>
      </c>
      <c r="B24" s="118">
        <f>B$15*Salários!$Q$27</f>
        <v>7986.7136022019613</v>
      </c>
      <c r="C24" s="118">
        <f>C$15*Salários!$Q$27</f>
        <v>3951.4234789343604</v>
      </c>
      <c r="D24" s="118">
        <f>D$15*Salários!$Q$27</f>
        <v>5519.3572601864225</v>
      </c>
      <c r="E24" s="118">
        <f>E$15*Salários!$Q$27</f>
        <v>3803.6979920105887</v>
      </c>
      <c r="F24" s="100">
        <f t="shared" si="5"/>
        <v>21261.192333333332</v>
      </c>
      <c r="G24" s="113" t="s">
        <v>354</v>
      </c>
      <c r="H24" s="114" t="str">
        <f>VLOOKUP($A24,'Informações RH'!$A$2:$D$9,2,FALSE)</f>
        <v>040.201.929-60</v>
      </c>
      <c r="I24" s="114" t="str">
        <f>VLOOKUP($A24,'Informações RH'!$A$2:$D$9,4,FALSE)</f>
        <v>Superior Completo / Doutorado em Andamento</v>
      </c>
      <c r="J24" s="111">
        <f>'Dias úteis'!$H$20*B$15</f>
        <v>839.64727677354097</v>
      </c>
      <c r="K24" s="111">
        <f>'Dias úteis'!$H$20*C$15</f>
        <v>415.41516682801029</v>
      </c>
      <c r="L24" s="111">
        <f>'Dias úteis'!$H$20*D$15</f>
        <v>580.25284539790027</v>
      </c>
      <c r="M24" s="111">
        <f>'Dias úteis'!$H$20*E$15</f>
        <v>399.88471100054795</v>
      </c>
      <c r="N24" s="100">
        <f t="shared" si="6"/>
        <v>2235.1999999999994</v>
      </c>
    </row>
    <row r="25" spans="1:14" x14ac:dyDescent="0.2">
      <c r="A25" s="116" t="s">
        <v>30</v>
      </c>
      <c r="B25" s="118">
        <f>SUMIF('(b) Timesheet consolidado'!$A$9:$A$71,$A25,'(b) Timesheet consolidado'!$K$9:$K$71)*B$15</f>
        <v>354.06264240037268</v>
      </c>
      <c r="C25" s="118">
        <f>SUMIF('(b) Timesheet consolidado'!$A$9:$A$71,$A25,'(b) Timesheet consolidado'!$K$9:$K$71)*C$15</f>
        <v>175.17235597488437</v>
      </c>
      <c r="D25" s="118">
        <f>SUMIF('(b) Timesheet consolidado'!$A$9:$A$71,$A25,'(b) Timesheet consolidado'!$K$9:$K$71)*D$15</f>
        <v>244.68114336220941</v>
      </c>
      <c r="E25" s="118">
        <f>SUMIF('(b) Timesheet consolidado'!$A$9:$A$71,$A25,'(b) Timesheet consolidado'!$K$9:$K$71)*E$15</f>
        <v>168.62347005568827</v>
      </c>
      <c r="F25" s="100">
        <f t="shared" si="5"/>
        <v>942.53961179315468</v>
      </c>
      <c r="G25" s="115" t="s">
        <v>291</v>
      </c>
      <c r="H25" s="114" t="str">
        <f>VLOOKUP($A25,'Informações RH'!$A$2:$D$9,2,FALSE)</f>
        <v>052.485.199-93</v>
      </c>
      <c r="I25" s="114" t="str">
        <f>VLOOKUP($A25,'Informações RH'!$A$2:$D$9,4,FALSE)</f>
        <v>Pós graduada</v>
      </c>
      <c r="J25" s="112">
        <f>SUMIF('(b) Timesheet consolidado'!$A$9:$A$71,$A25,'(b) Timesheet consolidado'!$G$9:$G$71)*B$15</f>
        <v>11.926807908715073</v>
      </c>
      <c r="K25" s="112">
        <f>SUMIF('(b) Timesheet consolidado'!$A$9:$A$71,$A25,'(b) Timesheet consolidado'!$G$9:$G$71)*C$15</f>
        <v>5.9007836197160568</v>
      </c>
      <c r="L25" s="112">
        <f>SUMIF('(b) Timesheet consolidado'!$A$9:$A$71,$A25,'(b) Timesheet consolidado'!$G$9:$G$71)*D$15</f>
        <v>8.2422279175838113</v>
      </c>
      <c r="M25" s="112">
        <f>SUMIF('(b) Timesheet consolidado'!$A$9:$A$71,$A25,'(b) Timesheet consolidado'!$G$9:$G$71)*E$15</f>
        <v>5.6801805539850569</v>
      </c>
      <c r="N25" s="100">
        <f t="shared" si="6"/>
        <v>31.749999999999996</v>
      </c>
    </row>
    <row r="26" spans="1:14" x14ac:dyDescent="0.2">
      <c r="A26" s="116" t="s">
        <v>33</v>
      </c>
      <c r="B26" s="118">
        <f>SUMIF('(b) Timesheet consolidado'!$A$9:$A$71,$A26,'(b) Timesheet consolidado'!$K$9:$K$71)*B$15</f>
        <v>703.88126111332417</v>
      </c>
      <c r="C26" s="118">
        <f>SUMIF('(b) Timesheet consolidado'!$A$9:$A$71,$A26,'(b) Timesheet consolidado'!$K$9:$K$71)*C$15</f>
        <v>348.24498286482867</v>
      </c>
      <c r="D26" s="118">
        <f>SUMIF('(b) Timesheet consolidado'!$A$9:$A$71,$A26,'(b) Timesheet consolidado'!$K$9:$K$71)*D$15</f>
        <v>486.42938038543184</v>
      </c>
      <c r="E26" s="118">
        <f>SUMIF('(b) Timesheet consolidado'!$A$9:$A$71,$A26,'(b) Timesheet consolidado'!$K$9:$K$71)*E$15</f>
        <v>335.22571020606995</v>
      </c>
      <c r="F26" s="100">
        <f t="shared" si="5"/>
        <v>1873.7813345696545</v>
      </c>
      <c r="G26" s="115" t="s">
        <v>291</v>
      </c>
      <c r="H26" s="114" t="str">
        <f>VLOOKUP($A26,'Informações RH'!$A$2:$D$9,2,FALSE)</f>
        <v>066.424.199-95</v>
      </c>
      <c r="I26" s="114" t="str">
        <f>VLOOKUP($A26,'Informações RH'!$A$2:$D$9,4,FALSE)</f>
        <v>Pós graduada</v>
      </c>
      <c r="J26" s="112">
        <f>SUMIF('(b) Timesheet consolidado'!$A$9:$A$71,$A26,'(b) Timesheet consolidado'!$G$9:$G$71)*B$15</f>
        <v>21.004955660755414</v>
      </c>
      <c r="K26" s="112">
        <f>SUMIF('(b) Timesheet consolidado'!$A$9:$A$71,$A26,'(b) Timesheet consolidado'!$G$9:$G$71)*C$15</f>
        <v>10.392193723961872</v>
      </c>
      <c r="L26" s="112">
        <f>SUMIF('(b) Timesheet consolidado'!$A$9:$A$71,$A26,'(b) Timesheet consolidado'!$G$9:$G$71)*D$15</f>
        <v>14.515839718369389</v>
      </c>
      <c r="M26" s="112">
        <f>SUMIF('(b) Timesheet consolidado'!$A$9:$A$71,$A26,'(b) Timesheet consolidado'!$G$9:$G$71)*E$15</f>
        <v>10.003677563579981</v>
      </c>
      <c r="N26" s="100">
        <f t="shared" si="6"/>
        <v>55.916666666666657</v>
      </c>
    </row>
    <row r="27" spans="1:14" x14ac:dyDescent="0.2">
      <c r="A27" s="116" t="s">
        <v>35</v>
      </c>
      <c r="B27" s="118">
        <f>SUMIF('(b) Timesheet consolidado'!$A$9:$A$71,$A27,'(b) Timesheet consolidado'!$K$9:$K$71)*B$15</f>
        <v>872.41394997774637</v>
      </c>
      <c r="C27" s="118">
        <f>SUMIF('(b) Timesheet consolidado'!$A$9:$A$71,$A27,'(b) Timesheet consolidado'!$K$9:$K$71)*C$15</f>
        <v>431.62646577705112</v>
      </c>
      <c r="D27" s="118">
        <f>SUMIF('(b) Timesheet consolidado'!$A$9:$A$71,$A27,'(b) Timesheet consolidado'!$K$9:$K$71)*D$15</f>
        <v>602.89682446732945</v>
      </c>
      <c r="E27" s="118">
        <f>SUMIF('(b) Timesheet consolidado'!$A$9:$A$71,$A27,'(b) Timesheet consolidado'!$K$9:$K$71)*E$15</f>
        <v>415.4899443016821</v>
      </c>
      <c r="F27" s="100">
        <f t="shared" si="5"/>
        <v>2322.427184523809</v>
      </c>
      <c r="G27" s="115" t="s">
        <v>291</v>
      </c>
      <c r="H27" s="114" t="str">
        <f>VLOOKUP($A27,'Informações RH'!$A$2:$D$9,2,FALSE)</f>
        <v>060.236.389-61</v>
      </c>
      <c r="I27" s="114" t="str">
        <f>VLOOKUP($A27,'Informações RH'!$A$2:$D$9,4,FALSE)</f>
        <v>Superior Completo</v>
      </c>
      <c r="J27" s="112">
        <f>SUMIF('(b) Timesheet consolidado'!$A$9:$A$71,$A27,'(b) Timesheet consolidado'!$G$9:$G$71)*B$15</f>
        <v>19.314541941409971</v>
      </c>
      <c r="K27" s="112">
        <f>SUMIF('(b) Timesheet consolidado'!$A$9:$A$71,$A27,'(b) Timesheet consolidado'!$G$9:$G$71)*C$15</f>
        <v>9.5558621873092022</v>
      </c>
      <c r="L27" s="112">
        <f>SUMIF('(b) Timesheet consolidado'!$A$9:$A$71,$A27,'(b) Timesheet consolidado'!$G$9:$G$71)*D$15</f>
        <v>13.347649934774832</v>
      </c>
      <c r="M27" s="112">
        <f>SUMIF('(b) Timesheet consolidado'!$A$9:$A$71,$A27,'(b) Timesheet consolidado'!$G$9:$G$71)*E$15</f>
        <v>9.1986126031726503</v>
      </c>
      <c r="N27" s="100">
        <f t="shared" si="6"/>
        <v>51.416666666666657</v>
      </c>
    </row>
    <row r="28" spans="1:14" ht="13.5" thickBot="1" x14ac:dyDescent="0.25">
      <c r="A28" s="103" t="s">
        <v>67</v>
      </c>
      <c r="B28" s="101">
        <f>SUM(B20:B27)</f>
        <v>60845.718658601771</v>
      </c>
      <c r="C28" s="101">
        <f t="shared" ref="C28:F28" si="7">SUM(C20:C27)</f>
        <v>30103.395874111098</v>
      </c>
      <c r="D28" s="101">
        <f t="shared" si="7"/>
        <v>42048.491501814329</v>
      </c>
      <c r="E28" s="101">
        <f t="shared" si="7"/>
        <v>28977.968838191013</v>
      </c>
      <c r="F28" s="101">
        <f t="shared" si="7"/>
        <v>161975.57487271822</v>
      </c>
      <c r="G28" s="102"/>
      <c r="H28" s="102"/>
      <c r="I28" s="102"/>
      <c r="J28" s="101">
        <f>SUM(J20:J27)</f>
        <v>2597.7902391407583</v>
      </c>
      <c r="K28" s="101">
        <f t="shared" ref="K28" si="8">SUM(K20:K27)</f>
        <v>1285.2557203825631</v>
      </c>
      <c r="L28" s="101">
        <f t="shared" ref="L28" si="9">SUM(L20:L27)</f>
        <v>1795.2480996551444</v>
      </c>
      <c r="M28" s="101">
        <f t="shared" ref="M28:N28" si="10">SUM(M20:M27)</f>
        <v>1237.2059408215325</v>
      </c>
      <c r="N28" s="101">
        <f t="shared" si="10"/>
        <v>6915.4999999999982</v>
      </c>
    </row>
    <row r="29" spans="1:14" ht="13.5" thickTop="1" x14ac:dyDescent="0.2"/>
    <row r="31" spans="1:14" x14ac:dyDescent="0.2">
      <c r="D31" s="122">
        <f>SUBTOTAL(9,D33:D54)</f>
        <v>83866.464691666668</v>
      </c>
      <c r="E31" s="122">
        <f t="shared" ref="E31:H31" si="11">SUBTOTAL(9,E33:E54)</f>
        <v>43737.234264726663</v>
      </c>
      <c r="F31" s="122">
        <f t="shared" si="11"/>
        <v>59543.635374999998</v>
      </c>
      <c r="G31" s="122">
        <f t="shared" si="11"/>
        <v>42963.78540833333</v>
      </c>
      <c r="H31" s="122">
        <f t="shared" si="11"/>
        <v>27055</v>
      </c>
      <c r="I31" s="122">
        <f>SUM(D31:H31)</f>
        <v>257166.11973972665</v>
      </c>
      <c r="J31" s="98"/>
    </row>
    <row r="32" spans="1:14" x14ac:dyDescent="0.2">
      <c r="A32" s="14" t="s">
        <v>80</v>
      </c>
      <c r="B32" s="14" t="s">
        <v>81</v>
      </c>
      <c r="C32" s="14" t="s">
        <v>83</v>
      </c>
      <c r="D32" s="19" t="s">
        <v>89</v>
      </c>
      <c r="E32" s="19" t="s">
        <v>90</v>
      </c>
      <c r="F32" s="19" t="s">
        <v>91</v>
      </c>
      <c r="G32" s="19" t="s">
        <v>92</v>
      </c>
      <c r="H32" s="19" t="s">
        <v>93</v>
      </c>
    </row>
    <row r="33" spans="1:8" x14ac:dyDescent="0.2">
      <c r="A33" s="23" t="s">
        <v>96</v>
      </c>
      <c r="B33" s="23" t="s">
        <v>97</v>
      </c>
      <c r="C33" s="23" t="s">
        <v>66</v>
      </c>
      <c r="D33" s="97">
        <f>SUMIFS('(a) Investimentos'!W$8:W$114,'(a) Investimentos'!$F$8:$F$114,$A33,'(a) Investimentos'!$G$8:$G$114,$B33,'(a) Investimentos'!$I$8:$I$114,$C33)</f>
        <v>651.70000000000005</v>
      </c>
      <c r="E33" s="97">
        <f>SUMIFS('(a) Investimentos'!X$8:X$114,'(a) Investimentos'!$F$8:$F$114,$A33,'(a) Investimentos'!$G$8:$G$114,$B33,'(a) Investimentos'!$I$8:$I$114,$C33)</f>
        <v>0</v>
      </c>
      <c r="F33" s="97">
        <f>SUMIFS('(a) Investimentos'!Y$8:Y$114,'(a) Investimentos'!$F$8:$F$114,$A33,'(a) Investimentos'!$G$8:$G$114,$B33,'(a) Investimentos'!$I$8:$I$114,$C33)</f>
        <v>651.70000000000005</v>
      </c>
      <c r="G33" s="97">
        <f>SUMIFS('(a) Investimentos'!Z$8:Z$114,'(a) Investimentos'!$F$8:$F$114,$A33,'(a) Investimentos'!$G$8:$G$114,$B33,'(a) Investimentos'!$I$8:$I$114,$C33)</f>
        <v>1303.4000000000001</v>
      </c>
      <c r="H33" s="97">
        <f>SUMIFS('(a) Investimentos'!AA$8:AA$114,'(a) Investimentos'!$F$8:$F$114,$A33,'(a) Investimentos'!$G$8:$G$114,$B33,'(a) Investimentos'!$I$8:$I$114,$C33)</f>
        <v>0</v>
      </c>
    </row>
    <row r="34" spans="1:8" x14ac:dyDescent="0.2">
      <c r="A34" s="23" t="s">
        <v>106</v>
      </c>
      <c r="B34" s="23" t="s">
        <v>107</v>
      </c>
      <c r="C34" s="23" t="s">
        <v>66</v>
      </c>
      <c r="D34" s="97">
        <f>SUMIFS('(a) Investimentos'!W$8:W$114,'(a) Investimentos'!$F$8:$F$114,$A34,'(a) Investimentos'!$G$8:$G$114,$B34,'(a) Investimentos'!$I$8:$I$114,$C34)</f>
        <v>12042</v>
      </c>
      <c r="E34" s="97">
        <f>SUMIFS('(a) Investimentos'!X$8:X$114,'(a) Investimentos'!$F$8:$F$114,$A34,'(a) Investimentos'!$G$8:$G$114,$B34,'(a) Investimentos'!$I$8:$I$114,$C34)</f>
        <v>0</v>
      </c>
      <c r="F34" s="97">
        <f>SUMIFS('(a) Investimentos'!Y$8:Y$114,'(a) Investimentos'!$F$8:$F$114,$A34,'(a) Investimentos'!$G$8:$G$114,$B34,'(a) Investimentos'!$I$8:$I$114,$C34)</f>
        <v>0</v>
      </c>
      <c r="G34" s="97">
        <f>SUMIFS('(a) Investimentos'!Z$8:Z$114,'(a) Investimentos'!$F$8:$F$114,$A34,'(a) Investimentos'!$G$8:$G$114,$B34,'(a) Investimentos'!$I$8:$I$114,$C34)</f>
        <v>0</v>
      </c>
      <c r="H34" s="97">
        <f>SUMIFS('(a) Investimentos'!AA$8:AA$114,'(a) Investimentos'!$F$8:$F$114,$A34,'(a) Investimentos'!$G$8:$G$114,$B34,'(a) Investimentos'!$I$8:$I$114,$C34)</f>
        <v>0</v>
      </c>
    </row>
    <row r="35" spans="1:8" x14ac:dyDescent="0.2">
      <c r="A35" s="23" t="s">
        <v>109</v>
      </c>
      <c r="B35" s="23" t="s">
        <v>110</v>
      </c>
      <c r="C35" s="23" t="s">
        <v>66</v>
      </c>
      <c r="D35" s="97">
        <f>SUMIFS('(a) Investimentos'!W$8:W$114,'(a) Investimentos'!$F$8:$F$114,$A35,'(a) Investimentos'!$G$8:$G$114,$B35,'(a) Investimentos'!$I$8:$I$114,$C35)</f>
        <v>0</v>
      </c>
      <c r="E35" s="97">
        <f>SUMIFS('(a) Investimentos'!X$8:X$114,'(a) Investimentos'!$F$8:$F$114,$A35,'(a) Investimentos'!$G$8:$G$114,$B35,'(a) Investimentos'!$I$8:$I$114,$C35)</f>
        <v>0</v>
      </c>
      <c r="F35" s="97">
        <f>SUMIFS('(a) Investimentos'!Y$8:Y$114,'(a) Investimentos'!$F$8:$F$114,$A35,'(a) Investimentos'!$G$8:$G$114,$B35,'(a) Investimentos'!$I$8:$I$114,$C35)</f>
        <v>0</v>
      </c>
      <c r="G35" s="97">
        <f>SUMIFS('(a) Investimentos'!Z$8:Z$114,'(a) Investimentos'!$F$8:$F$114,$A35,'(a) Investimentos'!$G$8:$G$114,$B35,'(a) Investimentos'!$I$8:$I$114,$C35)</f>
        <v>0</v>
      </c>
      <c r="H35" s="97">
        <f>SUMIFS('(a) Investimentos'!AA$8:AA$114,'(a) Investimentos'!$F$8:$F$114,$A35,'(a) Investimentos'!$G$8:$G$114,$B35,'(a) Investimentos'!$I$8:$I$114,$C35)</f>
        <v>0</v>
      </c>
    </row>
    <row r="36" spans="1:8" x14ac:dyDescent="0.2">
      <c r="A36" s="23" t="s">
        <v>112</v>
      </c>
      <c r="B36" s="23" t="s">
        <v>113</v>
      </c>
      <c r="C36" s="23" t="s">
        <v>66</v>
      </c>
      <c r="D36" s="97">
        <f>SUMIFS('(a) Investimentos'!W$8:W$114,'(a) Investimentos'!$F$8:$F$114,$A36,'(a) Investimentos'!$G$8:$G$114,$B36,'(a) Investimentos'!$I$8:$I$114,$C36)</f>
        <v>2425.2559500000002</v>
      </c>
      <c r="E36" s="97">
        <f>SUMIFS('(a) Investimentos'!X$8:X$114,'(a) Investimentos'!$F$8:$F$114,$A36,'(a) Investimentos'!$G$8:$G$114,$B36,'(a) Investimentos'!$I$8:$I$114,$C36)</f>
        <v>3919.2255230600003</v>
      </c>
      <c r="F36" s="97">
        <f>SUMIFS('(a) Investimentos'!Y$8:Y$114,'(a) Investimentos'!$F$8:$F$114,$A36,'(a) Investimentos'!$G$8:$G$114,$B36,'(a) Investimentos'!$I$8:$I$114,$C36)</f>
        <v>8020.1589999999997</v>
      </c>
      <c r="G36" s="97">
        <f>SUMIFS('(a) Investimentos'!Z$8:Z$114,'(a) Investimentos'!$F$8:$F$114,$A36,'(a) Investimentos'!$G$8:$G$114,$B36,'(a) Investimentos'!$I$8:$I$114,$C36)</f>
        <v>290</v>
      </c>
      <c r="H36" s="97">
        <f>SUMIFS('(a) Investimentos'!AA$8:AA$114,'(a) Investimentos'!$F$8:$F$114,$A36,'(a) Investimentos'!$G$8:$G$114,$B36,'(a) Investimentos'!$I$8:$I$114,$C36)</f>
        <v>0</v>
      </c>
    </row>
    <row r="37" spans="1:8" x14ac:dyDescent="0.2">
      <c r="A37" s="23" t="s">
        <v>115</v>
      </c>
      <c r="B37" s="23" t="s">
        <v>116</v>
      </c>
      <c r="C37" s="23" t="s">
        <v>66</v>
      </c>
      <c r="D37" s="97">
        <f>SUMIFS('(a) Investimentos'!W$8:W$114,'(a) Investimentos'!$F$8:$F$114,$A37,'(a) Investimentos'!$G$8:$G$114,$B37,'(a) Investimentos'!$I$8:$I$114,$C37)</f>
        <v>5804.2</v>
      </c>
      <c r="E37" s="97">
        <f>SUMIFS('(a) Investimentos'!X$8:X$114,'(a) Investimentos'!$F$8:$F$114,$A37,'(a) Investimentos'!$G$8:$G$114,$B37,'(a) Investimentos'!$I$8:$I$114,$C37)</f>
        <v>2364.6999999999998</v>
      </c>
      <c r="F37" s="97">
        <f>SUMIFS('(a) Investimentos'!Y$8:Y$114,'(a) Investimentos'!$F$8:$F$114,$A37,'(a) Investimentos'!$G$8:$G$114,$B37,'(a) Investimentos'!$I$8:$I$114,$C37)</f>
        <v>12665.9</v>
      </c>
      <c r="G37" s="97">
        <f>SUMIFS('(a) Investimentos'!Z$8:Z$114,'(a) Investimentos'!$F$8:$F$114,$A37,'(a) Investimentos'!$G$8:$G$114,$B37,'(a) Investimentos'!$I$8:$I$114,$C37)</f>
        <v>0</v>
      </c>
      <c r="H37" s="97">
        <f>SUMIFS('(a) Investimentos'!AA$8:AA$114,'(a) Investimentos'!$F$8:$F$114,$A37,'(a) Investimentos'!$G$8:$G$114,$B37,'(a) Investimentos'!$I$8:$I$114,$C37)</f>
        <v>0</v>
      </c>
    </row>
    <row r="38" spans="1:8" x14ac:dyDescent="0.2">
      <c r="A38" s="23" t="s">
        <v>118</v>
      </c>
      <c r="B38" s="23" t="s">
        <v>119</v>
      </c>
      <c r="C38" s="23" t="s">
        <v>66</v>
      </c>
      <c r="D38" s="97">
        <f>SUMIFS('(a) Investimentos'!W$8:W$114,'(a) Investimentos'!$F$8:$F$114,$A38,'(a) Investimentos'!$G$8:$G$114,$B38,'(a) Investimentos'!$I$8:$I$114,$C38)</f>
        <v>0</v>
      </c>
      <c r="E38" s="97">
        <f>SUMIFS('(a) Investimentos'!X$8:X$114,'(a) Investimentos'!$F$8:$F$114,$A38,'(a) Investimentos'!$G$8:$G$114,$B38,'(a) Investimentos'!$I$8:$I$114,$C38)</f>
        <v>0</v>
      </c>
      <c r="F38" s="97">
        <f>SUMIFS('(a) Investimentos'!Y$8:Y$114,'(a) Investimentos'!$F$8:$F$114,$A38,'(a) Investimentos'!$G$8:$G$114,$B38,'(a) Investimentos'!$I$8:$I$114,$C38)</f>
        <v>0</v>
      </c>
      <c r="G38" s="97">
        <f>SUMIFS('(a) Investimentos'!Z$8:Z$114,'(a) Investimentos'!$F$8:$F$114,$A38,'(a) Investimentos'!$G$8:$G$114,$B38,'(a) Investimentos'!$I$8:$I$114,$C38)</f>
        <v>0</v>
      </c>
      <c r="H38" s="97">
        <f>SUMIFS('(a) Investimentos'!AA$8:AA$114,'(a) Investimentos'!$F$8:$F$114,$A38,'(a) Investimentos'!$G$8:$G$114,$B38,'(a) Investimentos'!$I$8:$I$114,$C38)</f>
        <v>0</v>
      </c>
    </row>
    <row r="39" spans="1:8" x14ac:dyDescent="0.2">
      <c r="A39" s="23" t="s">
        <v>122</v>
      </c>
      <c r="B39" s="23" t="s">
        <v>123</v>
      </c>
      <c r="C39" s="23" t="s">
        <v>66</v>
      </c>
      <c r="D39" s="97">
        <f>SUMIFS('(a) Investimentos'!W$8:W$114,'(a) Investimentos'!$F$8:$F$114,$A39,'(a) Investimentos'!$G$8:$G$114,$B39,'(a) Investimentos'!$I$8:$I$114,$C39)</f>
        <v>24000</v>
      </c>
      <c r="E39" s="97">
        <f>SUMIFS('(a) Investimentos'!X$8:X$114,'(a) Investimentos'!$F$8:$F$114,$A39,'(a) Investimentos'!$G$8:$G$114,$B39,'(a) Investimentos'!$I$8:$I$114,$C39)</f>
        <v>0</v>
      </c>
      <c r="F39" s="97">
        <f>SUMIFS('(a) Investimentos'!Y$8:Y$114,'(a) Investimentos'!$F$8:$F$114,$A39,'(a) Investimentos'!$G$8:$G$114,$B39,'(a) Investimentos'!$I$8:$I$114,$C39)</f>
        <v>0</v>
      </c>
      <c r="G39" s="97">
        <f>SUMIFS('(a) Investimentos'!Z$8:Z$114,'(a) Investimentos'!$F$8:$F$114,$A39,'(a) Investimentos'!$G$8:$G$114,$B39,'(a) Investimentos'!$I$8:$I$114,$C39)</f>
        <v>0</v>
      </c>
      <c r="H39" s="97">
        <f>SUMIFS('(a) Investimentos'!AA$8:AA$114,'(a) Investimentos'!$F$8:$F$114,$A39,'(a) Investimentos'!$G$8:$G$114,$B39,'(a) Investimentos'!$I$8:$I$114,$C39)</f>
        <v>0</v>
      </c>
    </row>
    <row r="40" spans="1:8" x14ac:dyDescent="0.2">
      <c r="A40" s="23" t="s">
        <v>125</v>
      </c>
      <c r="B40" s="23" t="s">
        <v>126</v>
      </c>
      <c r="C40" s="23" t="s">
        <v>66</v>
      </c>
      <c r="D40" s="97">
        <f>SUMIFS('(a) Investimentos'!W$8:W$114,'(a) Investimentos'!$F$8:$F$114,$A40,'(a) Investimentos'!$G$8:$G$114,$B40,'(a) Investimentos'!$I$8:$I$114,$C40)</f>
        <v>0</v>
      </c>
      <c r="E40" s="97">
        <f>SUMIFS('(a) Investimentos'!X$8:X$114,'(a) Investimentos'!$F$8:$F$114,$A40,'(a) Investimentos'!$G$8:$G$114,$B40,'(a) Investimentos'!$I$8:$I$114,$C40)</f>
        <v>0</v>
      </c>
      <c r="F40" s="97">
        <f>SUMIFS('(a) Investimentos'!Y$8:Y$114,'(a) Investimentos'!$F$8:$F$114,$A40,'(a) Investimentos'!$G$8:$G$114,$B40,'(a) Investimentos'!$I$8:$I$114,$C40)</f>
        <v>0</v>
      </c>
      <c r="G40" s="97">
        <f>SUMIFS('(a) Investimentos'!Z$8:Z$114,'(a) Investimentos'!$F$8:$F$114,$A40,'(a) Investimentos'!$G$8:$G$114,$B40,'(a) Investimentos'!$I$8:$I$114,$C40)</f>
        <v>0</v>
      </c>
      <c r="H40" s="97">
        <f>SUMIFS('(a) Investimentos'!AA$8:AA$114,'(a) Investimentos'!$F$8:$F$114,$A40,'(a) Investimentos'!$G$8:$G$114,$B40,'(a) Investimentos'!$I$8:$I$114,$C40)</f>
        <v>0</v>
      </c>
    </row>
    <row r="41" spans="1:8" x14ac:dyDescent="0.2">
      <c r="A41" s="23" t="s">
        <v>128</v>
      </c>
      <c r="B41" s="23" t="s">
        <v>129</v>
      </c>
      <c r="C41" s="23" t="s">
        <v>66</v>
      </c>
      <c r="D41" s="97">
        <f>SUMIFS('(a) Investimentos'!W$8:W$114,'(a) Investimentos'!$F$8:$F$114,$A41,'(a) Investimentos'!$G$8:$G$114,$B41,'(a) Investimentos'!$I$8:$I$114,$C41)</f>
        <v>0</v>
      </c>
      <c r="E41" s="97">
        <f>SUMIFS('(a) Investimentos'!X$8:X$114,'(a) Investimentos'!$F$8:$F$114,$A41,'(a) Investimentos'!$G$8:$G$114,$B41,'(a) Investimentos'!$I$8:$I$114,$C41)</f>
        <v>0</v>
      </c>
      <c r="F41" s="97">
        <f>SUMIFS('(a) Investimentos'!Y$8:Y$114,'(a) Investimentos'!$F$8:$F$114,$A41,'(a) Investimentos'!$G$8:$G$114,$B41,'(a) Investimentos'!$I$8:$I$114,$C41)</f>
        <v>0</v>
      </c>
      <c r="G41" s="97">
        <f>SUMIFS('(a) Investimentos'!Z$8:Z$114,'(a) Investimentos'!$F$8:$F$114,$A41,'(a) Investimentos'!$G$8:$G$114,$B41,'(a) Investimentos'!$I$8:$I$114,$C41)</f>
        <v>0</v>
      </c>
      <c r="H41" s="97">
        <f>SUMIFS('(a) Investimentos'!AA$8:AA$114,'(a) Investimentos'!$F$8:$F$114,$A41,'(a) Investimentos'!$G$8:$G$114,$B41,'(a) Investimentos'!$I$8:$I$114,$C41)</f>
        <v>0</v>
      </c>
    </row>
    <row r="42" spans="1:8" x14ac:dyDescent="0.2">
      <c r="A42" s="23" t="s">
        <v>131</v>
      </c>
      <c r="B42" s="23" t="s">
        <v>132</v>
      </c>
      <c r="C42" s="23" t="s">
        <v>66</v>
      </c>
      <c r="D42" s="97">
        <f>SUMIFS('(a) Investimentos'!W$8:W$114,'(a) Investimentos'!$F$8:$F$114,$A42,'(a) Investimentos'!$G$8:$G$114,$B42,'(a) Investimentos'!$I$8:$I$114,$C42)</f>
        <v>0</v>
      </c>
      <c r="E42" s="97">
        <f>SUMIFS('(a) Investimentos'!X$8:X$114,'(a) Investimentos'!$F$8:$F$114,$A42,'(a) Investimentos'!$G$8:$G$114,$B42,'(a) Investimentos'!$I$8:$I$114,$C42)</f>
        <v>0</v>
      </c>
      <c r="F42" s="97">
        <f>SUMIFS('(a) Investimentos'!Y$8:Y$114,'(a) Investimentos'!$F$8:$F$114,$A42,'(a) Investimentos'!$G$8:$G$114,$B42,'(a) Investimentos'!$I$8:$I$114,$C42)</f>
        <v>0</v>
      </c>
      <c r="G42" s="97">
        <f>SUMIFS('(a) Investimentos'!Z$8:Z$114,'(a) Investimentos'!$F$8:$F$114,$A42,'(a) Investimentos'!$G$8:$G$114,$B42,'(a) Investimentos'!$I$8:$I$114,$C42)</f>
        <v>0</v>
      </c>
      <c r="H42" s="97">
        <f>SUMIFS('(a) Investimentos'!AA$8:AA$114,'(a) Investimentos'!$F$8:$F$114,$A42,'(a) Investimentos'!$G$8:$G$114,$B42,'(a) Investimentos'!$I$8:$I$114,$C42)</f>
        <v>0</v>
      </c>
    </row>
    <row r="43" spans="1:8" x14ac:dyDescent="0.2">
      <c r="A43" s="23" t="s">
        <v>135</v>
      </c>
      <c r="B43" s="23" t="s">
        <v>136</v>
      </c>
      <c r="C43" s="23" t="s">
        <v>66</v>
      </c>
      <c r="D43" s="97">
        <f>SUMIFS('(a) Investimentos'!W$8:W$114,'(a) Investimentos'!$F$8:$F$114,$A43,'(a) Investimentos'!$G$8:$G$114,$B43,'(a) Investimentos'!$I$8:$I$114,$C43)</f>
        <v>0</v>
      </c>
      <c r="E43" s="97">
        <f>SUMIFS('(a) Investimentos'!X$8:X$114,'(a) Investimentos'!$F$8:$F$114,$A43,'(a) Investimentos'!$G$8:$G$114,$B43,'(a) Investimentos'!$I$8:$I$114,$C43)</f>
        <v>0</v>
      </c>
      <c r="F43" s="97">
        <f>SUMIFS('(a) Investimentos'!Y$8:Y$114,'(a) Investimentos'!$F$8:$F$114,$A43,'(a) Investimentos'!$G$8:$G$114,$B43,'(a) Investimentos'!$I$8:$I$114,$C43)</f>
        <v>0</v>
      </c>
      <c r="G43" s="97">
        <f>SUMIFS('(a) Investimentos'!Z$8:Z$114,'(a) Investimentos'!$F$8:$F$114,$A43,'(a) Investimentos'!$G$8:$G$114,$B43,'(a) Investimentos'!$I$8:$I$114,$C43)</f>
        <v>0</v>
      </c>
      <c r="H43" s="97">
        <f>SUMIFS('(a) Investimentos'!AA$8:AA$114,'(a) Investimentos'!$F$8:$F$114,$A43,'(a) Investimentos'!$G$8:$G$114,$B43,'(a) Investimentos'!$I$8:$I$114,$C43)</f>
        <v>0</v>
      </c>
    </row>
    <row r="44" spans="1:8" x14ac:dyDescent="0.2">
      <c r="A44" s="23" t="s">
        <v>139</v>
      </c>
      <c r="B44" s="23" t="s">
        <v>140</v>
      </c>
      <c r="C44" s="23" t="s">
        <v>66</v>
      </c>
      <c r="D44" s="97">
        <f>SUMIFS('(a) Investimentos'!W$8:W$114,'(a) Investimentos'!$F$8:$F$114,$A44,'(a) Investimentos'!$G$8:$G$114,$B44,'(a) Investimentos'!$I$8:$I$114,$C44)</f>
        <v>0</v>
      </c>
      <c r="E44" s="97">
        <f>SUMIFS('(a) Investimentos'!X$8:X$114,'(a) Investimentos'!$F$8:$F$114,$A44,'(a) Investimentos'!$G$8:$G$114,$B44,'(a) Investimentos'!$I$8:$I$114,$C44)</f>
        <v>0</v>
      </c>
      <c r="F44" s="97">
        <f>SUMIFS('(a) Investimentos'!Y$8:Y$114,'(a) Investimentos'!$F$8:$F$114,$A44,'(a) Investimentos'!$G$8:$G$114,$B44,'(a) Investimentos'!$I$8:$I$114,$C44)</f>
        <v>0</v>
      </c>
      <c r="G44" s="97">
        <f>SUMIFS('(a) Investimentos'!Z$8:Z$114,'(a) Investimentos'!$F$8:$F$114,$A44,'(a) Investimentos'!$G$8:$G$114,$B44,'(a) Investimentos'!$I$8:$I$114,$C44)</f>
        <v>0</v>
      </c>
      <c r="H44" s="97">
        <f>SUMIFS('(a) Investimentos'!AA$8:AA$114,'(a) Investimentos'!$F$8:$F$114,$A44,'(a) Investimentos'!$G$8:$G$114,$B44,'(a) Investimentos'!$I$8:$I$114,$C44)</f>
        <v>0</v>
      </c>
    </row>
    <row r="45" spans="1:8" x14ac:dyDescent="0.2">
      <c r="A45" s="23" t="s">
        <v>153</v>
      </c>
      <c r="B45" s="23" t="s">
        <v>154</v>
      </c>
      <c r="C45" s="23" t="s">
        <v>66</v>
      </c>
      <c r="D45" s="97">
        <f>SUMIFS('(a) Investimentos'!W$8:W$114,'(a) Investimentos'!$F$8:$F$114,$A45,'(a) Investimentos'!$G$8:$G$114,$B45,'(a) Investimentos'!$I$8:$I$114,$C45)</f>
        <v>0</v>
      </c>
      <c r="E45" s="97">
        <f>SUMIFS('(a) Investimentos'!X$8:X$114,'(a) Investimentos'!$F$8:$F$114,$A45,'(a) Investimentos'!$G$8:$G$114,$B45,'(a) Investimentos'!$I$8:$I$114,$C45)</f>
        <v>0</v>
      </c>
      <c r="F45" s="97">
        <f>SUMIFS('(a) Investimentos'!Y$8:Y$114,'(a) Investimentos'!$F$8:$F$114,$A45,'(a) Investimentos'!$G$8:$G$114,$B45,'(a) Investimentos'!$I$8:$I$114,$C45)</f>
        <v>0</v>
      </c>
      <c r="G45" s="97">
        <f>SUMIFS('(a) Investimentos'!Z$8:Z$114,'(a) Investimentos'!$F$8:$F$114,$A45,'(a) Investimentos'!$G$8:$G$114,$B45,'(a) Investimentos'!$I$8:$I$114,$C45)</f>
        <v>0</v>
      </c>
      <c r="H45" s="97">
        <f>SUMIFS('(a) Investimentos'!AA$8:AA$114,'(a) Investimentos'!$F$8:$F$114,$A45,'(a) Investimentos'!$G$8:$G$114,$B45,'(a) Investimentos'!$I$8:$I$114,$C45)</f>
        <v>0</v>
      </c>
    </row>
    <row r="46" spans="1:8" x14ac:dyDescent="0.2">
      <c r="A46" s="23" t="s">
        <v>159</v>
      </c>
      <c r="B46" s="23" t="s">
        <v>160</v>
      </c>
      <c r="C46" s="23" t="s">
        <v>66</v>
      </c>
      <c r="D46" s="97">
        <f>SUMIFS('(a) Investimentos'!W$8:W$114,'(a) Investimentos'!$F$8:$F$114,$A46,'(a) Investimentos'!$G$8:$G$114,$B46,'(a) Investimentos'!$I$8:$I$114,$C46)</f>
        <v>1091.6657</v>
      </c>
      <c r="E46" s="97">
        <f>SUMIFS('(a) Investimentos'!X$8:X$114,'(a) Investimentos'!$F$8:$F$114,$A46,'(a) Investimentos'!$G$8:$G$114,$B46,'(a) Investimentos'!$I$8:$I$114,$C46)</f>
        <v>385.66570000000002</v>
      </c>
      <c r="F46" s="97">
        <f>SUMIFS('(a) Investimentos'!Y$8:Y$114,'(a) Investimentos'!$F$8:$F$114,$A46,'(a) Investimentos'!$G$8:$G$114,$B46,'(a) Investimentos'!$I$8:$I$114,$C46)</f>
        <v>61</v>
      </c>
      <c r="G46" s="97">
        <f>SUMIFS('(a) Investimentos'!Z$8:Z$114,'(a) Investimentos'!$F$8:$F$114,$A46,'(a) Investimentos'!$G$8:$G$114,$B46,'(a) Investimentos'!$I$8:$I$114,$C46)</f>
        <v>141.66570000000002</v>
      </c>
      <c r="H46" s="97">
        <f>SUMIFS('(a) Investimentos'!AA$8:AA$114,'(a) Investimentos'!$F$8:$F$114,$A46,'(a) Investimentos'!$G$8:$G$114,$B46,'(a) Investimentos'!$I$8:$I$114,$C46)</f>
        <v>0</v>
      </c>
    </row>
    <row r="47" spans="1:8" x14ac:dyDescent="0.2">
      <c r="A47" s="23" t="s">
        <v>164</v>
      </c>
      <c r="B47" s="23" t="s">
        <v>165</v>
      </c>
      <c r="C47" s="23" t="s">
        <v>66</v>
      </c>
      <c r="D47" s="97">
        <f>SUMIFS('(a) Investimentos'!W$8:W$114,'(a) Investimentos'!$F$8:$F$114,$A47,'(a) Investimentos'!$G$8:$G$114,$B47,'(a) Investimentos'!$I$8:$I$114,$C47)</f>
        <v>0</v>
      </c>
      <c r="E47" s="97">
        <f>SUMIFS('(a) Investimentos'!X$8:X$114,'(a) Investimentos'!$F$8:$F$114,$A47,'(a) Investimentos'!$G$8:$G$114,$B47,'(a) Investimentos'!$I$8:$I$114,$C47)</f>
        <v>0</v>
      </c>
      <c r="F47" s="97">
        <f>SUMIFS('(a) Investimentos'!Y$8:Y$114,'(a) Investimentos'!$F$8:$F$114,$A47,'(a) Investimentos'!$G$8:$G$114,$B47,'(a) Investimentos'!$I$8:$I$114,$C47)</f>
        <v>0</v>
      </c>
      <c r="G47" s="97">
        <f>SUMIFS('(a) Investimentos'!Z$8:Z$114,'(a) Investimentos'!$F$8:$F$114,$A47,'(a) Investimentos'!$G$8:$G$114,$B47,'(a) Investimentos'!$I$8:$I$114,$C47)</f>
        <v>0</v>
      </c>
      <c r="H47" s="97">
        <f>SUMIFS('(a) Investimentos'!AA$8:AA$114,'(a) Investimentos'!$F$8:$F$114,$A47,'(a) Investimentos'!$G$8:$G$114,$B47,'(a) Investimentos'!$I$8:$I$114,$C47)</f>
        <v>0</v>
      </c>
    </row>
    <row r="48" spans="1:8" x14ac:dyDescent="0.2">
      <c r="A48" s="23" t="s">
        <v>167</v>
      </c>
      <c r="B48" s="23" t="s">
        <v>168</v>
      </c>
      <c r="C48" s="23" t="s">
        <v>66</v>
      </c>
      <c r="D48" s="97">
        <f>SUMIFS('(a) Investimentos'!W$8:W$114,'(a) Investimentos'!$F$8:$F$114,$A48,'(a) Investimentos'!$G$8:$G$114,$B48,'(a) Investimentos'!$I$8:$I$114,$C48)</f>
        <v>784</v>
      </c>
      <c r="E48" s="97">
        <f>SUMIFS('(a) Investimentos'!X$8:X$114,'(a) Investimentos'!$F$8:$F$114,$A48,'(a) Investimentos'!$G$8:$G$114,$B48,'(a) Investimentos'!$I$8:$I$114,$C48)</f>
        <v>0</v>
      </c>
      <c r="F48" s="97">
        <f>SUMIFS('(a) Investimentos'!Y$8:Y$114,'(a) Investimentos'!$F$8:$F$114,$A48,'(a) Investimentos'!$G$8:$G$114,$B48,'(a) Investimentos'!$I$8:$I$114,$C48)</f>
        <v>0</v>
      </c>
      <c r="G48" s="97">
        <f>SUMIFS('(a) Investimentos'!Z$8:Z$114,'(a) Investimentos'!$F$8:$F$114,$A48,'(a) Investimentos'!$G$8:$G$114,$B48,'(a) Investimentos'!$I$8:$I$114,$C48)</f>
        <v>0</v>
      </c>
      <c r="H48" s="97">
        <f>SUMIFS('(a) Investimentos'!AA$8:AA$114,'(a) Investimentos'!$F$8:$F$114,$A48,'(a) Investimentos'!$G$8:$G$114,$B48,'(a) Investimentos'!$I$8:$I$114,$C48)</f>
        <v>0</v>
      </c>
    </row>
    <row r="49" spans="1:8" x14ac:dyDescent="0.2">
      <c r="A49" s="23" t="s">
        <v>174</v>
      </c>
      <c r="B49" s="23" t="s">
        <v>175</v>
      </c>
      <c r="C49" s="23" t="s">
        <v>66</v>
      </c>
      <c r="D49" s="97">
        <f>SUMIFS('(a) Investimentos'!W$8:W$114,'(a) Investimentos'!$F$8:$F$114,$A49,'(a) Investimentos'!$G$8:$G$114,$B49,'(a) Investimentos'!$I$8:$I$114,$C49)</f>
        <v>0</v>
      </c>
      <c r="E49" s="97">
        <f>SUMIFS('(a) Investimentos'!X$8:X$114,'(a) Investimentos'!$F$8:$F$114,$A49,'(a) Investimentos'!$G$8:$G$114,$B49,'(a) Investimentos'!$I$8:$I$114,$C49)</f>
        <v>0</v>
      </c>
      <c r="F49" s="97">
        <f>SUMIFS('(a) Investimentos'!Y$8:Y$114,'(a) Investimentos'!$F$8:$F$114,$A49,'(a) Investimentos'!$G$8:$G$114,$B49,'(a) Investimentos'!$I$8:$I$114,$C49)</f>
        <v>0</v>
      </c>
      <c r="G49" s="97">
        <f>SUMIFS('(a) Investimentos'!Z$8:Z$114,'(a) Investimentos'!$F$8:$F$114,$A49,'(a) Investimentos'!$G$8:$G$114,$B49,'(a) Investimentos'!$I$8:$I$114,$C49)</f>
        <v>0</v>
      </c>
      <c r="H49" s="97">
        <f>SUMIFS('(a) Investimentos'!AA$8:AA$114,'(a) Investimentos'!$F$8:$F$114,$A49,'(a) Investimentos'!$G$8:$G$114,$B49,'(a) Investimentos'!$I$8:$I$114,$C49)</f>
        <v>0</v>
      </c>
    </row>
    <row r="50" spans="1:8" x14ac:dyDescent="0.2">
      <c r="A50" s="23" t="s">
        <v>194</v>
      </c>
      <c r="B50" s="23" t="s">
        <v>195</v>
      </c>
      <c r="C50" s="23" t="s">
        <v>66</v>
      </c>
      <c r="D50" s="97">
        <f>SUMIFS('(a) Investimentos'!W$8:W$114,'(a) Investimentos'!$F$8:$F$114,$A50,'(a) Investimentos'!$G$8:$G$114,$B50,'(a) Investimentos'!$I$8:$I$114,$C50)</f>
        <v>0</v>
      </c>
      <c r="E50" s="97">
        <f>SUMIFS('(a) Investimentos'!X$8:X$114,'(a) Investimentos'!$F$8:$F$114,$A50,'(a) Investimentos'!$G$8:$G$114,$B50,'(a) Investimentos'!$I$8:$I$114,$C50)</f>
        <v>0</v>
      </c>
      <c r="F50" s="97">
        <f>SUMIFS('(a) Investimentos'!Y$8:Y$114,'(a) Investimentos'!$F$8:$F$114,$A50,'(a) Investimentos'!$G$8:$G$114,$B50,'(a) Investimentos'!$I$8:$I$114,$C50)</f>
        <v>507.23333333333341</v>
      </c>
      <c r="G50" s="97">
        <f>SUMIFS('(a) Investimentos'!Z$8:Z$114,'(a) Investimentos'!$F$8:$F$114,$A50,'(a) Investimentos'!$G$8:$G$114,$B50,'(a) Investimentos'!$I$8:$I$114,$C50)</f>
        <v>3021.0766666666668</v>
      </c>
      <c r="H50" s="97">
        <f>SUMIFS('(a) Investimentos'!AA$8:AA$114,'(a) Investimentos'!$F$8:$F$114,$A50,'(a) Investimentos'!$G$8:$G$114,$B50,'(a) Investimentos'!$I$8:$I$114,$C50)</f>
        <v>0</v>
      </c>
    </row>
    <row r="51" spans="1:8" x14ac:dyDescent="0.2">
      <c r="A51" s="23" t="s">
        <v>201</v>
      </c>
      <c r="B51" s="23" t="s">
        <v>202</v>
      </c>
      <c r="C51" s="23" t="s">
        <v>66</v>
      </c>
      <c r="D51" s="97">
        <f>SUMIFS('(a) Investimentos'!W$8:W$114,'(a) Investimentos'!$F$8:$F$114,$A51,'(a) Investimentos'!$G$8:$G$114,$B51,'(a) Investimentos'!$I$8:$I$114,$C51)</f>
        <v>190.00000000000003</v>
      </c>
      <c r="E51" s="97">
        <f>SUMIFS('(a) Investimentos'!X$8:X$114,'(a) Investimentos'!$F$8:$F$114,$A51,'(a) Investimentos'!$G$8:$G$114,$B51,'(a) Investimentos'!$I$8:$I$114,$C51)</f>
        <v>190</v>
      </c>
      <c r="F51" s="97">
        <f>SUMIFS('(a) Investimentos'!Y$8:Y$114,'(a) Investimentos'!$F$8:$F$114,$A51,'(a) Investimentos'!$G$8:$G$114,$B51,'(a) Investimentos'!$I$8:$I$114,$C51)</f>
        <v>760</v>
      </c>
      <c r="G51" s="97">
        <f>SUMIFS('(a) Investimentos'!Z$8:Z$114,'(a) Investimentos'!$F$8:$F$114,$A51,'(a) Investimentos'!$G$8:$G$114,$B51,'(a) Investimentos'!$I$8:$I$114,$C51)</f>
        <v>1330</v>
      </c>
      <c r="H51" s="97">
        <f>SUMIFS('(a) Investimentos'!AA$8:AA$114,'(a) Investimentos'!$F$8:$F$114,$A51,'(a) Investimentos'!$G$8:$G$114,$B51,'(a) Investimentos'!$I$8:$I$114,$C51)</f>
        <v>0</v>
      </c>
    </row>
    <row r="52" spans="1:8" x14ac:dyDescent="0.2">
      <c r="A52" s="23" t="s">
        <v>228</v>
      </c>
      <c r="B52" s="23" t="s">
        <v>229</v>
      </c>
      <c r="C52" s="23" t="s">
        <v>66</v>
      </c>
      <c r="D52" s="97">
        <f>SUMIFS('(a) Investimentos'!W$8:W$114,'(a) Investimentos'!$F$8:$F$114,$A52,'(a) Investimentos'!$G$8:$G$114,$B52,'(a) Investimentos'!$I$8:$I$114,$C52)</f>
        <v>0</v>
      </c>
      <c r="E52" s="97">
        <f>SUMIFS('(a) Investimentos'!X$8:X$114,'(a) Investimentos'!$F$8:$F$114,$A52,'(a) Investimentos'!$G$8:$G$114,$B52,'(a) Investimentos'!$I$8:$I$114,$C52)</f>
        <v>0</v>
      </c>
      <c r="F52" s="97">
        <f>SUMIFS('(a) Investimentos'!Y$8:Y$114,'(a) Investimentos'!$F$8:$F$114,$A52,'(a) Investimentos'!$G$8:$G$114,$B52,'(a) Investimentos'!$I$8:$I$114,$C52)</f>
        <v>0</v>
      </c>
      <c r="G52" s="97">
        <f>SUMIFS('(a) Investimentos'!Z$8:Z$114,'(a) Investimentos'!$F$8:$F$114,$A52,'(a) Investimentos'!$G$8:$G$114,$B52,'(a) Investimentos'!$I$8:$I$114,$C52)</f>
        <v>0</v>
      </c>
      <c r="H52" s="97">
        <f>SUMIFS('(a) Investimentos'!AA$8:AA$114,'(a) Investimentos'!$F$8:$F$114,$A52,'(a) Investimentos'!$G$8:$G$114,$B52,'(a) Investimentos'!$I$8:$I$114,$C52)</f>
        <v>27055</v>
      </c>
    </row>
    <row r="53" spans="1:8" x14ac:dyDescent="0.2">
      <c r="A53" s="46" t="s">
        <v>322</v>
      </c>
      <c r="B53" s="46" t="s">
        <v>323</v>
      </c>
      <c r="C53" s="46" t="s">
        <v>66</v>
      </c>
      <c r="D53" s="97">
        <f>SUMIFS('(a) Investimentos'!W$8:W$114,'(a) Investimentos'!$F$8:$F$114,$A53,'(a) Investimentos'!$G$8:$G$114,$B53,'(a) Investimentos'!$I$8:$I$114,$C53)</f>
        <v>8983.6594999999998</v>
      </c>
      <c r="E53" s="97">
        <f>SUMIFS('(a) Investimentos'!X$8:X$114,'(a) Investimentos'!$F$8:$F$114,$A53,'(a) Investimentos'!$G$8:$G$114,$B53,'(a) Investimentos'!$I$8:$I$114,$C53)</f>
        <v>8983.6594999999998</v>
      </c>
      <c r="F53" s="97">
        <f>SUMIFS('(a) Investimentos'!Y$8:Y$114,'(a) Investimentos'!$F$8:$F$114,$A53,'(a) Investimentos'!$G$8:$G$114,$B53,'(a) Investimentos'!$I$8:$I$114,$C53)</f>
        <v>8983.6594999999998</v>
      </c>
      <c r="G53" s="97">
        <f>SUMIFS('(a) Investimentos'!Z$8:Z$114,'(a) Investimentos'!$F$8:$F$114,$A53,'(a) Investimentos'!$G$8:$G$114,$B53,'(a) Investimentos'!$I$8:$I$114,$C53)</f>
        <v>8983.6594999999998</v>
      </c>
      <c r="H53" s="97">
        <f>SUMIFS('(a) Investimentos'!AA$8:AA$114,'(a) Investimentos'!$F$8:$F$114,$A53,'(a) Investimentos'!$G$8:$G$114,$B53,'(a) Investimentos'!$I$8:$I$114,$C53)</f>
        <v>0</v>
      </c>
    </row>
    <row r="54" spans="1:8" x14ac:dyDescent="0.2">
      <c r="A54" s="46" t="s">
        <v>324</v>
      </c>
      <c r="B54" s="46" t="s">
        <v>325</v>
      </c>
      <c r="C54" s="69" t="s">
        <v>66</v>
      </c>
      <c r="D54" s="97">
        <f>SUMIFS('(a) Investimentos'!W$8:W$114,'(a) Investimentos'!$F$8:$F$114,$A54,'(a) Investimentos'!$G$8:$G$114,$B54,'(a) Investimentos'!$I$8:$I$114,$C54)</f>
        <v>27893.983541666665</v>
      </c>
      <c r="E54" s="97">
        <f>SUMIFS('(a) Investimentos'!X$8:X$114,'(a) Investimentos'!$F$8:$F$114,$A54,'(a) Investimentos'!$G$8:$G$114,$B54,'(a) Investimentos'!$I$8:$I$114,$C54)</f>
        <v>27893.983541666665</v>
      </c>
      <c r="F54" s="97">
        <f>SUMIFS('(a) Investimentos'!Y$8:Y$114,'(a) Investimentos'!$F$8:$F$114,$A54,'(a) Investimentos'!$G$8:$G$114,$B54,'(a) Investimentos'!$I$8:$I$114,$C54)</f>
        <v>27893.983541666665</v>
      </c>
      <c r="G54" s="97">
        <f>SUMIFS('(a) Investimentos'!Z$8:Z$114,'(a) Investimentos'!$F$8:$F$114,$A54,'(a) Investimentos'!$G$8:$G$114,$B54,'(a) Investimentos'!$I$8:$I$114,$C54)</f>
        <v>27893.983541666665</v>
      </c>
      <c r="H54" s="97">
        <f>SUMIFS('(a) Investimentos'!AA$8:AA$114,'(a) Investimentos'!$F$8:$F$114,$A54,'(a) Investimentos'!$G$8:$G$114,$B54,'(a) Investimentos'!$I$8:$I$114,$C54)</f>
        <v>0</v>
      </c>
    </row>
  </sheetData>
  <autoFilter ref="A32:I54"/>
  <sortState ref="A20:A27">
    <sortCondition ref="A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9"/>
    <pageSetUpPr fitToPage="1"/>
  </sheetPr>
  <dimension ref="A1:AB118"/>
  <sheetViews>
    <sheetView topLeftCell="A20" workbookViewId="0">
      <selection activeCell="B8" sqref="B8"/>
    </sheetView>
  </sheetViews>
  <sheetFormatPr defaultRowHeight="15" x14ac:dyDescent="0.25"/>
  <cols>
    <col min="1" max="1" width="27.85546875" style="5" customWidth="1"/>
    <col min="2" max="2" width="21.28515625" style="6" customWidth="1"/>
    <col min="3" max="3" width="8" style="5" customWidth="1"/>
    <col min="4" max="4" width="13.5703125" style="5" hidden="1" customWidth="1"/>
    <col min="5" max="5" width="23.85546875" style="6" customWidth="1"/>
    <col min="6" max="6" width="51.140625" style="6" hidden="1" customWidth="1"/>
    <col min="7" max="7" width="17.42578125" style="6" bestFit="1" customWidth="1"/>
    <col min="8" max="8" width="37.5703125" style="6" customWidth="1"/>
    <col min="9" max="9" width="10.85546875" style="6" hidden="1" customWidth="1"/>
    <col min="10" max="10" width="11" style="146" bestFit="1" customWidth="1"/>
    <col min="11" max="11" width="4.42578125" style="5" hidden="1" customWidth="1"/>
    <col min="12" max="12" width="5.85546875" style="5" hidden="1" customWidth="1"/>
    <col min="13" max="13" width="11.140625" style="5" hidden="1" customWidth="1"/>
    <col min="14" max="14" width="15.7109375" style="5" bestFit="1" customWidth="1"/>
    <col min="15" max="15" width="10" style="5" hidden="1" customWidth="1"/>
    <col min="16" max="16" width="15.28515625" style="5" hidden="1" customWidth="1"/>
    <col min="17" max="17" width="21" style="5" hidden="1" customWidth="1"/>
    <col min="18" max="18" width="19.42578125" style="5" hidden="1" customWidth="1"/>
    <col min="19" max="19" width="19.85546875" style="5" hidden="1" customWidth="1"/>
    <col min="20" max="20" width="5.7109375" style="5" hidden="1" customWidth="1"/>
    <col min="21" max="21" width="6.42578125" style="5" hidden="1" customWidth="1"/>
    <col min="22" max="22" width="0" style="5" hidden="1" customWidth="1"/>
    <col min="23" max="23" width="12.85546875" style="5" hidden="1" customWidth="1"/>
    <col min="24" max="26" width="13.140625" style="5" hidden="1" customWidth="1"/>
    <col min="27" max="27" width="12.85546875" style="5" hidden="1" customWidth="1"/>
    <col min="28" max="28" width="14" style="5" bestFit="1" customWidth="1"/>
    <col min="29" max="16384" width="9.140625" style="5"/>
  </cols>
  <sheetData>
    <row r="1" spans="1:28" ht="26.25" x14ac:dyDescent="0.4">
      <c r="A1" s="1" t="s">
        <v>373</v>
      </c>
    </row>
    <row r="2" spans="1:28" ht="21" x14ac:dyDescent="0.35">
      <c r="A2" s="139" t="s">
        <v>374</v>
      </c>
    </row>
    <row r="3" spans="1:28" x14ac:dyDescent="0.25">
      <c r="A3" s="5" t="s">
        <v>0</v>
      </c>
      <c r="I3" s="61"/>
      <c r="J3" s="150"/>
    </row>
    <row r="4" spans="1:28" s="52" customFormat="1" ht="12.75" hidden="1" x14ac:dyDescent="0.2">
      <c r="E4" s="58"/>
      <c r="F4" s="58"/>
      <c r="G4" s="58"/>
      <c r="H4" s="58"/>
      <c r="I4" s="59" t="s">
        <v>65</v>
      </c>
      <c r="J4" s="60">
        <f>SUMIF($I$8:$I$115,I4,$N$8:$N$115)</f>
        <v>16180.070000000003</v>
      </c>
    </row>
    <row r="5" spans="1:28" s="52" customFormat="1" ht="12.75" hidden="1" x14ac:dyDescent="0.2">
      <c r="E5" s="58"/>
      <c r="F5" s="58"/>
      <c r="G5" s="58"/>
      <c r="H5" s="58"/>
      <c r="I5" s="59" t="s">
        <v>66</v>
      </c>
      <c r="J5" s="60">
        <f>SUMIF($I$8:$I$115,I5,$N$8:$N$115)</f>
        <v>257166.11973972683</v>
      </c>
      <c r="W5" s="80"/>
      <c r="X5" s="80"/>
      <c r="Y5" s="80"/>
      <c r="Z5" s="80"/>
      <c r="AA5" s="80"/>
      <c r="AB5" s="80"/>
    </row>
    <row r="6" spans="1:28" s="9" customFormat="1" ht="12.75" x14ac:dyDescent="0.2">
      <c r="A6" s="8"/>
      <c r="B6" s="12"/>
      <c r="D6" s="10">
        <f>SUBTOTAL(9,D8:D114)</f>
        <v>16180.070000000003</v>
      </c>
      <c r="E6" s="11"/>
      <c r="F6" s="11"/>
      <c r="G6" s="11"/>
      <c r="H6" s="12"/>
      <c r="I6" s="12"/>
      <c r="J6" s="147"/>
      <c r="M6" s="80"/>
      <c r="N6" s="10">
        <f>SUBTOTAL(9,N8:N114)</f>
        <v>16180.070000000003</v>
      </c>
      <c r="O6" s="7"/>
      <c r="P6" s="137" t="s">
        <v>73</v>
      </c>
      <c r="Q6" s="137"/>
      <c r="R6" s="137"/>
      <c r="S6" s="137"/>
      <c r="T6" s="137"/>
      <c r="U6" s="13">
        <f>SUM(U8:U90)/COUNT(U8:U90)</f>
        <v>1</v>
      </c>
      <c r="W6" s="137" t="s">
        <v>74</v>
      </c>
      <c r="X6" s="137"/>
      <c r="Y6" s="137"/>
      <c r="Z6" s="137"/>
      <c r="AA6" s="137"/>
    </row>
    <row r="7" spans="1:28" s="144" customFormat="1" ht="12.75" x14ac:dyDescent="0.2">
      <c r="A7" s="140" t="s">
        <v>75</v>
      </c>
      <c r="B7" s="141" t="s">
        <v>76</v>
      </c>
      <c r="C7" s="141" t="s">
        <v>381</v>
      </c>
      <c r="D7" s="142" t="s">
        <v>78</v>
      </c>
      <c r="E7" s="141" t="s">
        <v>79</v>
      </c>
      <c r="F7" s="141" t="s">
        <v>80</v>
      </c>
      <c r="G7" s="141" t="s">
        <v>81</v>
      </c>
      <c r="H7" s="141" t="s">
        <v>82</v>
      </c>
      <c r="I7" s="141" t="s">
        <v>83</v>
      </c>
      <c r="J7" s="141" t="s">
        <v>84</v>
      </c>
      <c r="K7" s="141" t="s">
        <v>85</v>
      </c>
      <c r="L7" s="141" t="s">
        <v>86</v>
      </c>
      <c r="M7" s="142" t="s">
        <v>87</v>
      </c>
      <c r="N7" s="141" t="s">
        <v>88</v>
      </c>
      <c r="O7" s="16"/>
      <c r="P7" s="17" t="s">
        <v>89</v>
      </c>
      <c r="Q7" s="17" t="s">
        <v>90</v>
      </c>
      <c r="R7" s="17" t="s">
        <v>91</v>
      </c>
      <c r="S7" s="17" t="s">
        <v>92</v>
      </c>
      <c r="T7" s="17" t="s">
        <v>93</v>
      </c>
      <c r="U7" s="17" t="s">
        <v>67</v>
      </c>
      <c r="V7" s="18"/>
      <c r="W7" s="143" t="s">
        <v>89</v>
      </c>
      <c r="X7" s="143" t="s">
        <v>90</v>
      </c>
      <c r="Y7" s="143" t="s">
        <v>91</v>
      </c>
      <c r="Z7" s="143" t="s">
        <v>92</v>
      </c>
      <c r="AA7" s="143" t="s">
        <v>93</v>
      </c>
    </row>
    <row r="8" spans="1:28" s="21" customFormat="1" ht="12.75" hidden="1" x14ac:dyDescent="0.2">
      <c r="A8" s="20" t="s">
        <v>94</v>
      </c>
      <c r="B8" s="21">
        <v>34840</v>
      </c>
      <c r="C8" s="21">
        <v>1</v>
      </c>
      <c r="D8" s="22">
        <v>1303.4000000000001</v>
      </c>
      <c r="E8" s="23" t="s">
        <v>95</v>
      </c>
      <c r="F8" s="23" t="s">
        <v>96</v>
      </c>
      <c r="G8" s="23" t="s">
        <v>97</v>
      </c>
      <c r="H8" s="23" t="s">
        <v>98</v>
      </c>
      <c r="I8" s="23" t="s">
        <v>66</v>
      </c>
      <c r="J8" s="24">
        <v>42500</v>
      </c>
      <c r="K8" s="21">
        <v>5</v>
      </c>
      <c r="L8" s="25">
        <v>1</v>
      </c>
      <c r="M8" s="22">
        <v>1303.4000000000001</v>
      </c>
      <c r="N8" s="26">
        <f>M8*L8</f>
        <v>1303.4000000000001</v>
      </c>
      <c r="O8" s="7"/>
      <c r="P8" s="27">
        <v>0.5</v>
      </c>
      <c r="Q8" s="27">
        <v>0</v>
      </c>
      <c r="R8" s="27">
        <v>0</v>
      </c>
      <c r="S8" s="27">
        <v>0.5</v>
      </c>
      <c r="T8" s="27">
        <v>0</v>
      </c>
      <c r="U8" s="28">
        <f>SUM(P8:T8)</f>
        <v>1</v>
      </c>
      <c r="W8" s="29">
        <f>$N8*P8</f>
        <v>651.70000000000005</v>
      </c>
      <c r="X8" s="29">
        <f t="shared" ref="X8:AA23" si="0">$N8*Q8</f>
        <v>0</v>
      </c>
      <c r="Y8" s="29">
        <f t="shared" si="0"/>
        <v>0</v>
      </c>
      <c r="Z8" s="29">
        <f t="shared" si="0"/>
        <v>651.70000000000005</v>
      </c>
      <c r="AA8" s="29">
        <f t="shared" si="0"/>
        <v>0</v>
      </c>
    </row>
    <row r="9" spans="1:28" s="21" customFormat="1" ht="12.75" x14ac:dyDescent="0.2">
      <c r="A9" s="20" t="s">
        <v>99</v>
      </c>
      <c r="B9" s="151" t="s">
        <v>100</v>
      </c>
      <c r="C9" s="21">
        <v>2</v>
      </c>
      <c r="D9" s="22">
        <v>579.24</v>
      </c>
      <c r="E9" s="151" t="s">
        <v>11</v>
      </c>
      <c r="F9" s="23" t="s">
        <v>101</v>
      </c>
      <c r="G9" s="151"/>
      <c r="H9" s="151" t="s">
        <v>102</v>
      </c>
      <c r="I9" s="23" t="s">
        <v>65</v>
      </c>
      <c r="J9" s="148">
        <v>42641</v>
      </c>
      <c r="K9" s="21">
        <v>9</v>
      </c>
      <c r="L9" s="25">
        <v>1</v>
      </c>
      <c r="M9" s="22">
        <v>579.24</v>
      </c>
      <c r="N9" s="155">
        <f t="shared" ref="N9:N72" si="1">M9*L9</f>
        <v>579.24</v>
      </c>
      <c r="O9" s="7"/>
      <c r="P9" s="27">
        <v>1</v>
      </c>
      <c r="Q9" s="27">
        <v>0</v>
      </c>
      <c r="R9" s="27">
        <v>0</v>
      </c>
      <c r="S9" s="27">
        <v>0</v>
      </c>
      <c r="T9" s="27">
        <v>0</v>
      </c>
      <c r="U9" s="28">
        <f t="shared" ref="U9:U72" si="2">SUM(P9:T9)</f>
        <v>1</v>
      </c>
      <c r="W9" s="29">
        <f t="shared" ref="W9:AA71" si="3">$N9*P9</f>
        <v>579.24</v>
      </c>
      <c r="X9" s="29">
        <f t="shared" si="0"/>
        <v>0</v>
      </c>
      <c r="Y9" s="29">
        <f t="shared" si="0"/>
        <v>0</v>
      </c>
      <c r="Z9" s="29">
        <f t="shared" si="0"/>
        <v>0</v>
      </c>
      <c r="AA9" s="29">
        <f t="shared" si="0"/>
        <v>0</v>
      </c>
    </row>
    <row r="10" spans="1:28" s="21" customFormat="1" ht="12.75" x14ac:dyDescent="0.2">
      <c r="A10" s="20" t="s">
        <v>103</v>
      </c>
      <c r="B10" s="152"/>
      <c r="C10" s="64">
        <v>2</v>
      </c>
      <c r="D10" s="65">
        <v>138.01</v>
      </c>
      <c r="E10" s="154" t="s">
        <v>11</v>
      </c>
      <c r="F10" s="66" t="s">
        <v>104</v>
      </c>
      <c r="G10" s="154"/>
      <c r="H10" s="154" t="s">
        <v>105</v>
      </c>
      <c r="I10" s="66" t="s">
        <v>65</v>
      </c>
      <c r="J10" s="149">
        <v>42641</v>
      </c>
      <c r="K10" s="64">
        <v>9</v>
      </c>
      <c r="L10" s="68">
        <v>1</v>
      </c>
      <c r="M10" s="65">
        <v>138.01</v>
      </c>
      <c r="N10" s="155">
        <f t="shared" si="1"/>
        <v>138.01</v>
      </c>
      <c r="O10" s="63"/>
      <c r="P10" s="27">
        <v>1</v>
      </c>
      <c r="Q10" s="27">
        <v>0</v>
      </c>
      <c r="R10" s="27">
        <v>0</v>
      </c>
      <c r="S10" s="27">
        <v>0</v>
      </c>
      <c r="T10" s="27">
        <v>0</v>
      </c>
      <c r="U10" s="28">
        <f t="shared" si="2"/>
        <v>1</v>
      </c>
      <c r="W10" s="29">
        <f t="shared" si="3"/>
        <v>138.01</v>
      </c>
      <c r="X10" s="29">
        <f t="shared" si="0"/>
        <v>0</v>
      </c>
      <c r="Y10" s="29">
        <f t="shared" si="0"/>
        <v>0</v>
      </c>
      <c r="Z10" s="29">
        <f t="shared" si="0"/>
        <v>0</v>
      </c>
      <c r="AA10" s="29">
        <f t="shared" si="0"/>
        <v>0</v>
      </c>
    </row>
    <row r="11" spans="1:28" s="21" customFormat="1" ht="12.75" hidden="1" x14ac:dyDescent="0.2">
      <c r="A11" s="20" t="s">
        <v>94</v>
      </c>
      <c r="B11" s="21">
        <v>98</v>
      </c>
      <c r="C11" s="21">
        <v>4</v>
      </c>
      <c r="D11" s="22">
        <v>12042</v>
      </c>
      <c r="E11" s="23" t="s">
        <v>11</v>
      </c>
      <c r="F11" s="23" t="s">
        <v>106</v>
      </c>
      <c r="G11" s="23" t="s">
        <v>107</v>
      </c>
      <c r="H11" s="23" t="s">
        <v>108</v>
      </c>
      <c r="I11" s="23" t="s">
        <v>66</v>
      </c>
      <c r="J11" s="24">
        <v>42628</v>
      </c>
      <c r="K11" s="21">
        <v>9</v>
      </c>
      <c r="L11" s="25">
        <v>1</v>
      </c>
      <c r="M11" s="22">
        <v>12042</v>
      </c>
      <c r="N11" s="26">
        <f t="shared" si="1"/>
        <v>12042</v>
      </c>
      <c r="O11" s="7"/>
      <c r="P11" s="27">
        <v>1</v>
      </c>
      <c r="Q11" s="27">
        <v>0</v>
      </c>
      <c r="R11" s="27">
        <v>0</v>
      </c>
      <c r="S11" s="27">
        <v>0</v>
      </c>
      <c r="T11" s="27">
        <v>0</v>
      </c>
      <c r="U11" s="28">
        <f t="shared" si="2"/>
        <v>1</v>
      </c>
      <c r="W11" s="29">
        <f t="shared" si="3"/>
        <v>12042</v>
      </c>
      <c r="X11" s="29">
        <f t="shared" si="0"/>
        <v>0</v>
      </c>
      <c r="Y11" s="29">
        <f t="shared" si="0"/>
        <v>0</v>
      </c>
      <c r="Z11" s="29">
        <f t="shared" si="0"/>
        <v>0</v>
      </c>
      <c r="AA11" s="29">
        <f t="shared" si="0"/>
        <v>0</v>
      </c>
    </row>
    <row r="12" spans="1:28" s="21" customFormat="1" ht="12.75" x14ac:dyDescent="0.2">
      <c r="A12" s="20" t="s">
        <v>94</v>
      </c>
      <c r="B12" s="151">
        <v>11849</v>
      </c>
      <c r="C12" s="21">
        <v>5</v>
      </c>
      <c r="D12" s="22">
        <v>877.5</v>
      </c>
      <c r="E12" s="151" t="s">
        <v>11</v>
      </c>
      <c r="F12" s="23" t="s">
        <v>109</v>
      </c>
      <c r="G12" s="151" t="s">
        <v>110</v>
      </c>
      <c r="H12" s="154" t="s">
        <v>11</v>
      </c>
      <c r="I12" s="123" t="s">
        <v>65</v>
      </c>
      <c r="J12" s="148">
        <v>42529</v>
      </c>
      <c r="K12" s="21">
        <v>6</v>
      </c>
      <c r="L12" s="25">
        <v>1</v>
      </c>
      <c r="M12" s="22">
        <v>877.5</v>
      </c>
      <c r="N12" s="155">
        <f t="shared" si="1"/>
        <v>877.5</v>
      </c>
      <c r="O12" s="7"/>
      <c r="P12" s="27">
        <v>1</v>
      </c>
      <c r="Q12" s="27">
        <v>0</v>
      </c>
      <c r="R12" s="27">
        <v>0</v>
      </c>
      <c r="S12" s="27">
        <v>0</v>
      </c>
      <c r="T12" s="27">
        <v>0</v>
      </c>
      <c r="U12" s="28">
        <f t="shared" si="2"/>
        <v>1</v>
      </c>
      <c r="W12" s="29">
        <f t="shared" si="3"/>
        <v>877.5</v>
      </c>
      <c r="X12" s="29">
        <f t="shared" si="0"/>
        <v>0</v>
      </c>
      <c r="Y12" s="29">
        <f t="shared" si="0"/>
        <v>0</v>
      </c>
      <c r="Z12" s="29">
        <f t="shared" si="0"/>
        <v>0</v>
      </c>
      <c r="AA12" s="29">
        <f t="shared" si="0"/>
        <v>0</v>
      </c>
    </row>
    <row r="13" spans="1:28" s="21" customFormat="1" ht="12.75" hidden="1" x14ac:dyDescent="0.2">
      <c r="A13" s="20" t="s">
        <v>94</v>
      </c>
      <c r="B13" s="21">
        <v>9354</v>
      </c>
      <c r="C13" s="21">
        <v>6</v>
      </c>
      <c r="D13" s="22">
        <v>1230</v>
      </c>
      <c r="E13" s="23" t="s">
        <v>11</v>
      </c>
      <c r="F13" s="23" t="s">
        <v>112</v>
      </c>
      <c r="G13" s="23" t="s">
        <v>113</v>
      </c>
      <c r="H13" s="23" t="s">
        <v>114</v>
      </c>
      <c r="I13" s="23" t="s">
        <v>66</v>
      </c>
      <c r="J13" s="24">
        <v>42587</v>
      </c>
      <c r="K13" s="21">
        <v>8</v>
      </c>
      <c r="L13" s="25">
        <v>1</v>
      </c>
      <c r="M13" s="22">
        <v>1230</v>
      </c>
      <c r="N13" s="26">
        <f t="shared" si="1"/>
        <v>1230</v>
      </c>
      <c r="O13" s="7"/>
      <c r="P13" s="27">
        <v>1</v>
      </c>
      <c r="Q13" s="27">
        <v>0</v>
      </c>
      <c r="R13" s="27">
        <v>0</v>
      </c>
      <c r="S13" s="27">
        <v>0</v>
      </c>
      <c r="T13" s="27">
        <v>0</v>
      </c>
      <c r="U13" s="28">
        <f t="shared" si="2"/>
        <v>1</v>
      </c>
      <c r="W13" s="29">
        <f t="shared" si="3"/>
        <v>1230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29">
        <f t="shared" si="0"/>
        <v>0</v>
      </c>
    </row>
    <row r="14" spans="1:28" s="21" customFormat="1" ht="12.75" hidden="1" x14ac:dyDescent="0.2">
      <c r="A14" s="20" t="s">
        <v>94</v>
      </c>
      <c r="B14" s="21">
        <v>81028</v>
      </c>
      <c r="C14" s="21">
        <v>7</v>
      </c>
      <c r="D14" s="22">
        <v>2401</v>
      </c>
      <c r="E14" s="23" t="s">
        <v>11</v>
      </c>
      <c r="F14" s="23" t="s">
        <v>115</v>
      </c>
      <c r="G14" s="23" t="s">
        <v>116</v>
      </c>
      <c r="H14" s="23" t="s">
        <v>117</v>
      </c>
      <c r="I14" s="23" t="s">
        <v>66</v>
      </c>
      <c r="J14" s="24">
        <v>42565</v>
      </c>
      <c r="K14" s="21">
        <v>7</v>
      </c>
      <c r="L14" s="25">
        <v>1</v>
      </c>
      <c r="M14" s="22">
        <v>2401</v>
      </c>
      <c r="N14" s="26">
        <f t="shared" si="1"/>
        <v>2401</v>
      </c>
      <c r="O14" s="7"/>
      <c r="P14" s="27">
        <v>1</v>
      </c>
      <c r="Q14" s="27">
        <v>0</v>
      </c>
      <c r="R14" s="27">
        <v>0</v>
      </c>
      <c r="S14" s="27">
        <v>0</v>
      </c>
      <c r="T14" s="27">
        <v>0</v>
      </c>
      <c r="U14" s="28">
        <f t="shared" si="2"/>
        <v>1</v>
      </c>
      <c r="W14" s="29">
        <f t="shared" si="3"/>
        <v>2401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29">
        <f t="shared" si="0"/>
        <v>0</v>
      </c>
    </row>
    <row r="15" spans="1:28" s="30" customFormat="1" ht="12.75" hidden="1" x14ac:dyDescent="0.2">
      <c r="A15" s="20" t="s">
        <v>94</v>
      </c>
      <c r="B15" s="21">
        <v>81357</v>
      </c>
      <c r="C15" s="21">
        <v>8</v>
      </c>
      <c r="D15" s="22">
        <v>2401</v>
      </c>
      <c r="E15" s="23" t="s">
        <v>11</v>
      </c>
      <c r="F15" s="23" t="s">
        <v>115</v>
      </c>
      <c r="G15" s="23" t="s">
        <v>116</v>
      </c>
      <c r="H15" s="23" t="s">
        <v>117</v>
      </c>
      <c r="I15" s="23" t="s">
        <v>66</v>
      </c>
      <c r="J15" s="24">
        <v>42585</v>
      </c>
      <c r="K15" s="21">
        <v>8</v>
      </c>
      <c r="L15" s="25">
        <v>1</v>
      </c>
      <c r="M15" s="22">
        <v>2401</v>
      </c>
      <c r="N15" s="26">
        <f t="shared" si="1"/>
        <v>2401</v>
      </c>
      <c r="O15" s="7"/>
      <c r="P15" s="27">
        <v>1</v>
      </c>
      <c r="Q15" s="27">
        <v>0</v>
      </c>
      <c r="R15" s="27">
        <v>0</v>
      </c>
      <c r="S15" s="27">
        <v>0</v>
      </c>
      <c r="T15" s="27">
        <v>0</v>
      </c>
      <c r="U15" s="28">
        <f t="shared" si="2"/>
        <v>1</v>
      </c>
      <c r="V15" s="21"/>
      <c r="W15" s="29">
        <f t="shared" si="3"/>
        <v>2401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29">
        <f t="shared" si="0"/>
        <v>0</v>
      </c>
    </row>
    <row r="16" spans="1:28" s="30" customFormat="1" ht="12.75" x14ac:dyDescent="0.2">
      <c r="A16" s="20" t="s">
        <v>94</v>
      </c>
      <c r="B16" s="151">
        <v>38</v>
      </c>
      <c r="C16" s="21">
        <v>9</v>
      </c>
      <c r="D16" s="22">
        <v>1000</v>
      </c>
      <c r="E16" s="151" t="s">
        <v>11</v>
      </c>
      <c r="F16" s="23" t="s">
        <v>118</v>
      </c>
      <c r="G16" s="151" t="s">
        <v>119</v>
      </c>
      <c r="H16" s="154" t="s">
        <v>11</v>
      </c>
      <c r="I16" s="123" t="s">
        <v>65</v>
      </c>
      <c r="J16" s="148">
        <v>42611</v>
      </c>
      <c r="K16" s="21">
        <v>8</v>
      </c>
      <c r="L16" s="25">
        <v>1</v>
      </c>
      <c r="M16" s="22">
        <v>1000</v>
      </c>
      <c r="N16" s="155">
        <f t="shared" si="1"/>
        <v>1000</v>
      </c>
      <c r="O16" s="7"/>
      <c r="P16" s="27">
        <v>1</v>
      </c>
      <c r="Q16" s="27">
        <v>0</v>
      </c>
      <c r="R16" s="27">
        <v>0</v>
      </c>
      <c r="S16" s="27">
        <v>0</v>
      </c>
      <c r="T16" s="27">
        <v>0</v>
      </c>
      <c r="U16" s="28">
        <f t="shared" si="2"/>
        <v>1</v>
      </c>
      <c r="V16" s="21"/>
      <c r="W16" s="29">
        <f t="shared" si="3"/>
        <v>1000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</row>
    <row r="17" spans="1:27" s="30" customFormat="1" ht="12.75" x14ac:dyDescent="0.2">
      <c r="A17" s="20" t="s">
        <v>94</v>
      </c>
      <c r="B17" s="151">
        <v>48</v>
      </c>
      <c r="C17" s="21">
        <v>10</v>
      </c>
      <c r="D17" s="22">
        <v>89</v>
      </c>
      <c r="E17" s="151" t="s">
        <v>11</v>
      </c>
      <c r="F17" s="23" t="s">
        <v>118</v>
      </c>
      <c r="G17" s="151" t="s">
        <v>119</v>
      </c>
      <c r="H17" s="154" t="s">
        <v>11</v>
      </c>
      <c r="I17" s="123" t="s">
        <v>65</v>
      </c>
      <c r="J17" s="148">
        <v>42654</v>
      </c>
      <c r="K17" s="21">
        <v>10</v>
      </c>
      <c r="L17" s="25">
        <v>1</v>
      </c>
      <c r="M17" s="22">
        <v>89</v>
      </c>
      <c r="N17" s="155">
        <f t="shared" si="1"/>
        <v>89</v>
      </c>
      <c r="O17" s="7"/>
      <c r="P17" s="27">
        <v>1</v>
      </c>
      <c r="Q17" s="27">
        <v>0</v>
      </c>
      <c r="R17" s="27">
        <v>0</v>
      </c>
      <c r="S17" s="27">
        <v>0</v>
      </c>
      <c r="T17" s="27">
        <v>0</v>
      </c>
      <c r="U17" s="28">
        <f t="shared" si="2"/>
        <v>1</v>
      </c>
      <c r="V17" s="21"/>
      <c r="W17" s="29">
        <f t="shared" si="3"/>
        <v>89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29">
        <f t="shared" si="0"/>
        <v>0</v>
      </c>
    </row>
    <row r="18" spans="1:27" s="30" customFormat="1" ht="12.75" hidden="1" x14ac:dyDescent="0.2">
      <c r="A18" s="20" t="s">
        <v>94</v>
      </c>
      <c r="B18" s="21">
        <v>80303</v>
      </c>
      <c r="C18" s="21">
        <v>11</v>
      </c>
      <c r="D18" s="22">
        <v>524</v>
      </c>
      <c r="E18" s="23" t="s">
        <v>11</v>
      </c>
      <c r="F18" s="23" t="s">
        <v>115</v>
      </c>
      <c r="G18" s="23" t="s">
        <v>116</v>
      </c>
      <c r="H18" s="23" t="s">
        <v>121</v>
      </c>
      <c r="I18" s="23" t="s">
        <v>66</v>
      </c>
      <c r="J18" s="24">
        <v>42541</v>
      </c>
      <c r="K18" s="21">
        <v>6</v>
      </c>
      <c r="L18" s="25">
        <v>1</v>
      </c>
      <c r="M18" s="22">
        <v>524</v>
      </c>
      <c r="N18" s="26">
        <f t="shared" si="1"/>
        <v>524</v>
      </c>
      <c r="O18" s="7"/>
      <c r="P18" s="27">
        <v>1</v>
      </c>
      <c r="Q18" s="27">
        <v>0</v>
      </c>
      <c r="R18" s="27">
        <v>0</v>
      </c>
      <c r="S18" s="27">
        <v>0</v>
      </c>
      <c r="T18" s="27">
        <v>0</v>
      </c>
      <c r="U18" s="28">
        <f t="shared" si="2"/>
        <v>1</v>
      </c>
      <c r="V18" s="21"/>
      <c r="W18" s="29">
        <f t="shared" si="3"/>
        <v>524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29">
        <f t="shared" si="0"/>
        <v>0</v>
      </c>
    </row>
    <row r="19" spans="1:27" s="30" customFormat="1" ht="12.75" hidden="1" x14ac:dyDescent="0.2">
      <c r="A19" s="20" t="s">
        <v>94</v>
      </c>
      <c r="B19" s="21">
        <v>423</v>
      </c>
      <c r="C19" s="21">
        <v>12</v>
      </c>
      <c r="D19" s="22">
        <v>24000</v>
      </c>
      <c r="E19" s="23" t="s">
        <v>11</v>
      </c>
      <c r="F19" s="23" t="s">
        <v>122</v>
      </c>
      <c r="G19" s="23" t="s">
        <v>123</v>
      </c>
      <c r="H19" s="23" t="s">
        <v>124</v>
      </c>
      <c r="I19" s="23" t="s">
        <v>66</v>
      </c>
      <c r="J19" s="24">
        <v>42608</v>
      </c>
      <c r="K19" s="21">
        <v>8</v>
      </c>
      <c r="L19" s="25">
        <v>1</v>
      </c>
      <c r="M19" s="22">
        <v>24000</v>
      </c>
      <c r="N19" s="26">
        <f t="shared" si="1"/>
        <v>24000</v>
      </c>
      <c r="O19" s="7"/>
      <c r="P19" s="27">
        <v>1</v>
      </c>
      <c r="Q19" s="27">
        <v>0</v>
      </c>
      <c r="R19" s="27">
        <v>0</v>
      </c>
      <c r="S19" s="27">
        <v>0</v>
      </c>
      <c r="T19" s="27">
        <v>0</v>
      </c>
      <c r="U19" s="28">
        <f t="shared" si="2"/>
        <v>1</v>
      </c>
      <c r="V19" s="21"/>
      <c r="W19" s="29">
        <f t="shared" si="3"/>
        <v>24000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29">
        <f t="shared" si="0"/>
        <v>0</v>
      </c>
    </row>
    <row r="20" spans="1:27" s="30" customFormat="1" ht="12.75" x14ac:dyDescent="0.2">
      <c r="A20" s="20" t="s">
        <v>94</v>
      </c>
      <c r="B20" s="151">
        <v>776332</v>
      </c>
      <c r="C20" s="21">
        <v>13</v>
      </c>
      <c r="D20" s="22">
        <v>105.6</v>
      </c>
      <c r="E20" s="151" t="s">
        <v>11</v>
      </c>
      <c r="F20" s="23" t="s">
        <v>125</v>
      </c>
      <c r="G20" s="151" t="s">
        <v>126</v>
      </c>
      <c r="H20" s="151" t="s">
        <v>127</v>
      </c>
      <c r="I20" s="123" t="s">
        <v>65</v>
      </c>
      <c r="J20" s="148">
        <v>42633</v>
      </c>
      <c r="K20" s="21">
        <v>9</v>
      </c>
      <c r="L20" s="25">
        <v>1</v>
      </c>
      <c r="M20" s="22">
        <v>105.6</v>
      </c>
      <c r="N20" s="155">
        <f t="shared" si="1"/>
        <v>105.6</v>
      </c>
      <c r="O20" s="7"/>
      <c r="P20" s="27">
        <v>1</v>
      </c>
      <c r="Q20" s="27">
        <v>0</v>
      </c>
      <c r="R20" s="27">
        <v>0</v>
      </c>
      <c r="S20" s="27">
        <v>0</v>
      </c>
      <c r="T20" s="27">
        <v>0</v>
      </c>
      <c r="U20" s="28">
        <f t="shared" si="2"/>
        <v>1</v>
      </c>
      <c r="V20" s="21"/>
      <c r="W20" s="29">
        <f t="shared" si="3"/>
        <v>105.6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29">
        <f t="shared" si="0"/>
        <v>0</v>
      </c>
    </row>
    <row r="21" spans="1:27" s="30" customFormat="1" ht="12.75" x14ac:dyDescent="0.2">
      <c r="A21" s="20" t="s">
        <v>94</v>
      </c>
      <c r="B21" s="151">
        <v>5270</v>
      </c>
      <c r="C21" s="21">
        <v>14</v>
      </c>
      <c r="D21" s="22">
        <v>1323.55</v>
      </c>
      <c r="E21" s="151" t="s">
        <v>11</v>
      </c>
      <c r="F21" s="23" t="s">
        <v>128</v>
      </c>
      <c r="G21" s="151" t="s">
        <v>129</v>
      </c>
      <c r="H21" s="151" t="s">
        <v>130</v>
      </c>
      <c r="I21" s="123" t="s">
        <v>65</v>
      </c>
      <c r="J21" s="148">
        <v>42520</v>
      </c>
      <c r="K21" s="21">
        <v>5</v>
      </c>
      <c r="L21" s="25">
        <v>1</v>
      </c>
      <c r="M21" s="22">
        <v>1323.55</v>
      </c>
      <c r="N21" s="155">
        <f t="shared" si="1"/>
        <v>1323.55</v>
      </c>
      <c r="O21" s="7"/>
      <c r="P21" s="27">
        <v>1</v>
      </c>
      <c r="Q21" s="27">
        <v>0</v>
      </c>
      <c r="R21" s="27">
        <v>0</v>
      </c>
      <c r="S21" s="27">
        <v>0</v>
      </c>
      <c r="T21" s="27">
        <v>0</v>
      </c>
      <c r="U21" s="28">
        <f t="shared" si="2"/>
        <v>1</v>
      </c>
      <c r="V21" s="21"/>
      <c r="W21" s="29">
        <f t="shared" si="3"/>
        <v>1323.55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29">
        <f t="shared" si="0"/>
        <v>0</v>
      </c>
    </row>
    <row r="22" spans="1:27" s="30" customFormat="1" ht="12.75" x14ac:dyDescent="0.2">
      <c r="A22" s="20" t="s">
        <v>94</v>
      </c>
      <c r="B22" s="151">
        <v>6739</v>
      </c>
      <c r="C22" s="21">
        <v>15</v>
      </c>
      <c r="D22" s="22">
        <v>240</v>
      </c>
      <c r="E22" s="151" t="s">
        <v>18</v>
      </c>
      <c r="F22" s="23" t="s">
        <v>131</v>
      </c>
      <c r="G22" s="151" t="s">
        <v>132</v>
      </c>
      <c r="H22" s="151" t="s">
        <v>133</v>
      </c>
      <c r="I22" s="123" t="s">
        <v>65</v>
      </c>
      <c r="J22" s="148">
        <v>42675</v>
      </c>
      <c r="K22" s="21">
        <v>11</v>
      </c>
      <c r="L22" s="25">
        <v>1</v>
      </c>
      <c r="M22" s="22">
        <v>240</v>
      </c>
      <c r="N22" s="155">
        <f t="shared" si="1"/>
        <v>240</v>
      </c>
      <c r="O22" s="7"/>
      <c r="P22" s="27">
        <v>1</v>
      </c>
      <c r="Q22" s="27">
        <v>0</v>
      </c>
      <c r="R22" s="27">
        <v>0</v>
      </c>
      <c r="S22" s="27">
        <v>0</v>
      </c>
      <c r="T22" s="27">
        <v>0</v>
      </c>
      <c r="U22" s="28">
        <f t="shared" si="2"/>
        <v>1</v>
      </c>
      <c r="V22" s="21"/>
      <c r="W22" s="29">
        <f t="shared" si="3"/>
        <v>240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29">
        <f t="shared" si="0"/>
        <v>0</v>
      </c>
    </row>
    <row r="23" spans="1:27" s="30" customFormat="1" ht="12.75" x14ac:dyDescent="0.2">
      <c r="A23" s="20" t="s">
        <v>94</v>
      </c>
      <c r="B23" s="151">
        <v>3957</v>
      </c>
      <c r="C23" s="21">
        <v>16</v>
      </c>
      <c r="D23" s="22">
        <v>627.6</v>
      </c>
      <c r="E23" s="151" t="s">
        <v>134</v>
      </c>
      <c r="F23" s="23" t="s">
        <v>135</v>
      </c>
      <c r="G23" s="151" t="s">
        <v>136</v>
      </c>
      <c r="H23" s="151" t="s">
        <v>137</v>
      </c>
      <c r="I23" s="123" t="s">
        <v>65</v>
      </c>
      <c r="J23" s="148">
        <v>42639</v>
      </c>
      <c r="K23" s="21">
        <v>9</v>
      </c>
      <c r="L23" s="25">
        <v>1</v>
      </c>
      <c r="M23" s="22">
        <v>627.6</v>
      </c>
      <c r="N23" s="155">
        <f t="shared" si="1"/>
        <v>627.6</v>
      </c>
      <c r="O23" s="7"/>
      <c r="P23" s="27">
        <v>1</v>
      </c>
      <c r="Q23" s="27">
        <v>0</v>
      </c>
      <c r="R23" s="27">
        <v>0</v>
      </c>
      <c r="S23" s="27">
        <v>0</v>
      </c>
      <c r="T23" s="27">
        <v>0</v>
      </c>
      <c r="U23" s="28">
        <f t="shared" si="2"/>
        <v>1</v>
      </c>
      <c r="V23" s="21"/>
      <c r="W23" s="29">
        <f t="shared" si="3"/>
        <v>627.6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29">
        <f t="shared" si="0"/>
        <v>0</v>
      </c>
    </row>
    <row r="24" spans="1:27" s="30" customFormat="1" ht="12.75" x14ac:dyDescent="0.2">
      <c r="A24" s="20" t="s">
        <v>94</v>
      </c>
      <c r="B24" s="151">
        <v>2162</v>
      </c>
      <c r="C24" s="21">
        <v>17</v>
      </c>
      <c r="D24" s="22">
        <v>127.68</v>
      </c>
      <c r="E24" s="151" t="s">
        <v>138</v>
      </c>
      <c r="F24" s="23" t="s">
        <v>139</v>
      </c>
      <c r="G24" s="151" t="s">
        <v>140</v>
      </c>
      <c r="H24" s="151" t="s">
        <v>141</v>
      </c>
      <c r="I24" s="123" t="s">
        <v>65</v>
      </c>
      <c r="J24" s="148">
        <v>42706</v>
      </c>
      <c r="K24" s="21">
        <v>12</v>
      </c>
      <c r="L24" s="25">
        <v>1</v>
      </c>
      <c r="M24" s="22">
        <v>127.68</v>
      </c>
      <c r="N24" s="155">
        <f t="shared" si="1"/>
        <v>127.68</v>
      </c>
      <c r="O24" s="7"/>
      <c r="P24" s="27">
        <v>1</v>
      </c>
      <c r="Q24" s="27">
        <v>0</v>
      </c>
      <c r="R24" s="27">
        <v>0</v>
      </c>
      <c r="S24" s="27">
        <v>0</v>
      </c>
      <c r="T24" s="27">
        <v>0</v>
      </c>
      <c r="U24" s="28">
        <f t="shared" si="2"/>
        <v>1</v>
      </c>
      <c r="V24" s="21"/>
      <c r="W24" s="29">
        <f t="shared" si="3"/>
        <v>127.68</v>
      </c>
      <c r="X24" s="29">
        <f t="shared" si="3"/>
        <v>0</v>
      </c>
      <c r="Y24" s="29">
        <f t="shared" si="3"/>
        <v>0</v>
      </c>
      <c r="Z24" s="29">
        <f t="shared" si="3"/>
        <v>0</v>
      </c>
      <c r="AA24" s="29">
        <f t="shared" si="3"/>
        <v>0</v>
      </c>
    </row>
    <row r="25" spans="1:27" s="30" customFormat="1" ht="12.75" x14ac:dyDescent="0.2">
      <c r="A25" s="20" t="s">
        <v>142</v>
      </c>
      <c r="B25" s="151">
        <v>422135</v>
      </c>
      <c r="C25" s="21">
        <v>18</v>
      </c>
      <c r="D25" s="22">
        <v>41.25</v>
      </c>
      <c r="E25" s="151" t="s">
        <v>9</v>
      </c>
      <c r="F25" s="23" t="s">
        <v>143</v>
      </c>
      <c r="G25" s="151"/>
      <c r="H25" s="151" t="s">
        <v>144</v>
      </c>
      <c r="I25" s="123" t="s">
        <v>65</v>
      </c>
      <c r="J25" s="148">
        <v>42605</v>
      </c>
      <c r="K25" s="21">
        <v>8</v>
      </c>
      <c r="L25" s="25">
        <v>1</v>
      </c>
      <c r="M25" s="22">
        <v>41.25</v>
      </c>
      <c r="N25" s="155">
        <f t="shared" si="1"/>
        <v>41.25</v>
      </c>
      <c r="O25" s="7"/>
      <c r="P25" s="27">
        <v>1</v>
      </c>
      <c r="Q25" s="27">
        <v>0</v>
      </c>
      <c r="R25" s="27">
        <v>0</v>
      </c>
      <c r="S25" s="27">
        <v>0</v>
      </c>
      <c r="T25" s="27">
        <v>0</v>
      </c>
      <c r="U25" s="28">
        <f t="shared" si="2"/>
        <v>1</v>
      </c>
      <c r="V25" s="21"/>
      <c r="W25" s="29">
        <f t="shared" si="3"/>
        <v>41.25</v>
      </c>
      <c r="X25" s="29">
        <f t="shared" si="3"/>
        <v>0</v>
      </c>
      <c r="Y25" s="29">
        <f t="shared" si="3"/>
        <v>0</v>
      </c>
      <c r="Z25" s="29">
        <f t="shared" si="3"/>
        <v>0</v>
      </c>
      <c r="AA25" s="29">
        <f t="shared" si="3"/>
        <v>0</v>
      </c>
    </row>
    <row r="26" spans="1:27" s="30" customFormat="1" ht="12.75" x14ac:dyDescent="0.2">
      <c r="A26" s="20" t="s">
        <v>145</v>
      </c>
      <c r="B26" s="151" t="s">
        <v>146</v>
      </c>
      <c r="C26" s="21">
        <v>19</v>
      </c>
      <c r="D26" s="22">
        <v>436.44</v>
      </c>
      <c r="E26" s="151" t="s">
        <v>9</v>
      </c>
      <c r="F26" s="23"/>
      <c r="G26" s="151"/>
      <c r="H26" s="151" t="s">
        <v>147</v>
      </c>
      <c r="I26" s="123" t="s">
        <v>65</v>
      </c>
      <c r="J26" s="148">
        <v>42576</v>
      </c>
      <c r="K26" s="21">
        <v>7</v>
      </c>
      <c r="L26" s="25">
        <v>1</v>
      </c>
      <c r="M26" s="22">
        <v>436.44</v>
      </c>
      <c r="N26" s="155">
        <f t="shared" si="1"/>
        <v>436.44</v>
      </c>
      <c r="O26" s="7"/>
      <c r="P26" s="27">
        <v>1</v>
      </c>
      <c r="Q26" s="27">
        <v>0</v>
      </c>
      <c r="R26" s="27">
        <v>0</v>
      </c>
      <c r="S26" s="27">
        <v>0</v>
      </c>
      <c r="T26" s="27">
        <v>0</v>
      </c>
      <c r="U26" s="28">
        <f t="shared" si="2"/>
        <v>1</v>
      </c>
      <c r="V26" s="21"/>
      <c r="W26" s="29">
        <f t="shared" si="3"/>
        <v>436.44</v>
      </c>
      <c r="X26" s="29">
        <f t="shared" si="3"/>
        <v>0</v>
      </c>
      <c r="Y26" s="29">
        <f t="shared" si="3"/>
        <v>0</v>
      </c>
      <c r="Z26" s="29">
        <f t="shared" si="3"/>
        <v>0</v>
      </c>
      <c r="AA26" s="29">
        <f t="shared" si="3"/>
        <v>0</v>
      </c>
    </row>
    <row r="27" spans="1:27" s="30" customFormat="1" ht="12.75" hidden="1" x14ac:dyDescent="0.2">
      <c r="A27" s="20" t="s">
        <v>94</v>
      </c>
      <c r="B27" s="21">
        <v>5542</v>
      </c>
      <c r="C27" s="21">
        <v>20</v>
      </c>
      <c r="D27" s="22">
        <v>3220</v>
      </c>
      <c r="E27" s="23" t="s">
        <v>148</v>
      </c>
      <c r="F27" s="23" t="s">
        <v>112</v>
      </c>
      <c r="G27" s="23" t="s">
        <v>113</v>
      </c>
      <c r="H27" s="23" t="s">
        <v>149</v>
      </c>
      <c r="I27" s="23" t="s">
        <v>66</v>
      </c>
      <c r="J27" s="24">
        <v>42506</v>
      </c>
      <c r="K27" s="21">
        <v>5</v>
      </c>
      <c r="L27" s="25">
        <v>0.35719499999999998</v>
      </c>
      <c r="M27" s="22">
        <v>3220</v>
      </c>
      <c r="N27" s="26">
        <f t="shared" si="1"/>
        <v>1150.1678999999999</v>
      </c>
      <c r="O27" s="7"/>
      <c r="P27" s="27">
        <v>0.5</v>
      </c>
      <c r="Q27" s="27">
        <v>0.5</v>
      </c>
      <c r="R27" s="27">
        <v>0</v>
      </c>
      <c r="S27" s="27">
        <v>0</v>
      </c>
      <c r="T27" s="27">
        <v>0</v>
      </c>
      <c r="U27" s="28">
        <f t="shared" si="2"/>
        <v>1</v>
      </c>
      <c r="V27" s="21"/>
      <c r="W27" s="29">
        <f t="shared" si="3"/>
        <v>575.08394999999996</v>
      </c>
      <c r="X27" s="29">
        <f t="shared" si="3"/>
        <v>575.08394999999996</v>
      </c>
      <c r="Y27" s="29">
        <f t="shared" si="3"/>
        <v>0</v>
      </c>
      <c r="Z27" s="29">
        <f t="shared" si="3"/>
        <v>0</v>
      </c>
      <c r="AA27" s="29">
        <f t="shared" si="3"/>
        <v>0</v>
      </c>
    </row>
    <row r="28" spans="1:27" s="30" customFormat="1" ht="12.75" x14ac:dyDescent="0.2">
      <c r="A28" s="20" t="s">
        <v>150</v>
      </c>
      <c r="B28" s="151" t="s">
        <v>151</v>
      </c>
      <c r="C28" s="21">
        <v>21</v>
      </c>
      <c r="D28" s="22">
        <v>107.33</v>
      </c>
      <c r="E28" s="151" t="s">
        <v>152</v>
      </c>
      <c r="F28" s="23" t="s">
        <v>153</v>
      </c>
      <c r="G28" s="151" t="s">
        <v>154</v>
      </c>
      <c r="H28" s="151" t="s">
        <v>155</v>
      </c>
      <c r="I28" s="123" t="s">
        <v>65</v>
      </c>
      <c r="J28" s="148">
        <v>42432</v>
      </c>
      <c r="K28" s="21">
        <v>3</v>
      </c>
      <c r="L28" s="25">
        <v>1</v>
      </c>
      <c r="M28" s="22">
        <v>107.33</v>
      </c>
      <c r="N28" s="155">
        <f t="shared" si="1"/>
        <v>107.33</v>
      </c>
      <c r="O28" s="7"/>
      <c r="P28" s="27">
        <v>0</v>
      </c>
      <c r="Q28" s="27">
        <v>1</v>
      </c>
      <c r="R28" s="27">
        <v>0</v>
      </c>
      <c r="S28" s="27">
        <v>0</v>
      </c>
      <c r="T28" s="27">
        <v>0</v>
      </c>
      <c r="U28" s="28">
        <f t="shared" si="2"/>
        <v>1</v>
      </c>
      <c r="V28" s="21"/>
      <c r="W28" s="29">
        <f t="shared" si="3"/>
        <v>0</v>
      </c>
      <c r="X28" s="29">
        <f t="shared" si="3"/>
        <v>107.33</v>
      </c>
      <c r="Y28" s="29">
        <f t="shared" si="3"/>
        <v>0</v>
      </c>
      <c r="Z28" s="29">
        <f t="shared" si="3"/>
        <v>0</v>
      </c>
      <c r="AA28" s="29">
        <f t="shared" si="3"/>
        <v>0</v>
      </c>
    </row>
    <row r="29" spans="1:27" s="30" customFormat="1" ht="12.75" x14ac:dyDescent="0.2">
      <c r="A29" s="20" t="s">
        <v>94</v>
      </c>
      <c r="B29" s="151">
        <v>2177</v>
      </c>
      <c r="C29" s="21">
        <v>22</v>
      </c>
      <c r="D29" s="22">
        <v>415.6</v>
      </c>
      <c r="E29" s="151" t="s">
        <v>156</v>
      </c>
      <c r="F29" s="23" t="s">
        <v>157</v>
      </c>
      <c r="G29" s="151"/>
      <c r="H29" s="151" t="s">
        <v>158</v>
      </c>
      <c r="I29" s="123" t="s">
        <v>65</v>
      </c>
      <c r="J29" s="148">
        <v>42719</v>
      </c>
      <c r="K29" s="21">
        <v>12</v>
      </c>
      <c r="L29" s="25">
        <v>1</v>
      </c>
      <c r="M29" s="22">
        <v>415.6</v>
      </c>
      <c r="N29" s="155">
        <f t="shared" si="1"/>
        <v>415.6</v>
      </c>
      <c r="O29" s="7"/>
      <c r="P29" s="27">
        <v>0</v>
      </c>
      <c r="Q29" s="27">
        <v>1</v>
      </c>
      <c r="R29" s="27">
        <v>0</v>
      </c>
      <c r="S29" s="27">
        <v>0</v>
      </c>
      <c r="T29" s="27">
        <v>0</v>
      </c>
      <c r="U29" s="28">
        <f t="shared" si="2"/>
        <v>1</v>
      </c>
      <c r="V29" s="21"/>
      <c r="W29" s="29">
        <f t="shared" si="3"/>
        <v>0</v>
      </c>
      <c r="X29" s="29">
        <f t="shared" si="3"/>
        <v>415.6</v>
      </c>
      <c r="Y29" s="29">
        <f t="shared" si="3"/>
        <v>0</v>
      </c>
      <c r="Z29" s="29">
        <f t="shared" si="3"/>
        <v>0</v>
      </c>
      <c r="AA29" s="29">
        <f t="shared" si="3"/>
        <v>0</v>
      </c>
    </row>
    <row r="30" spans="1:27" s="30" customFormat="1" ht="12.75" hidden="1" x14ac:dyDescent="0.2">
      <c r="A30" s="20" t="s">
        <v>94</v>
      </c>
      <c r="B30" s="21">
        <v>27824</v>
      </c>
      <c r="C30" s="21">
        <v>23</v>
      </c>
      <c r="D30" s="22">
        <v>950</v>
      </c>
      <c r="E30" s="23" t="s">
        <v>12</v>
      </c>
      <c r="F30" s="23" t="s">
        <v>159</v>
      </c>
      <c r="G30" s="23" t="s">
        <v>160</v>
      </c>
      <c r="H30" s="23" t="s">
        <v>161</v>
      </c>
      <c r="I30" s="23" t="s">
        <v>66</v>
      </c>
      <c r="J30" s="24">
        <v>42647</v>
      </c>
      <c r="K30" s="21">
        <v>10</v>
      </c>
      <c r="L30" s="25">
        <v>1</v>
      </c>
      <c r="M30" s="22">
        <v>950</v>
      </c>
      <c r="N30" s="26">
        <f t="shared" si="1"/>
        <v>950</v>
      </c>
      <c r="O30" s="7"/>
      <c r="P30" s="27">
        <v>1</v>
      </c>
      <c r="Q30" s="27">
        <v>0</v>
      </c>
      <c r="R30" s="27">
        <v>0</v>
      </c>
      <c r="S30" s="27">
        <v>0</v>
      </c>
      <c r="T30" s="27">
        <v>0</v>
      </c>
      <c r="U30" s="28">
        <f t="shared" si="2"/>
        <v>1</v>
      </c>
      <c r="V30" s="21"/>
      <c r="W30" s="29">
        <f t="shared" si="3"/>
        <v>950</v>
      </c>
      <c r="X30" s="29">
        <f t="shared" si="3"/>
        <v>0</v>
      </c>
      <c r="Y30" s="29">
        <f t="shared" si="3"/>
        <v>0</v>
      </c>
      <c r="Z30" s="29">
        <f t="shared" si="3"/>
        <v>0</v>
      </c>
      <c r="AA30" s="29">
        <f t="shared" si="3"/>
        <v>0</v>
      </c>
    </row>
    <row r="31" spans="1:27" s="30" customFormat="1" ht="12.75" x14ac:dyDescent="0.2">
      <c r="A31" s="20" t="s">
        <v>162</v>
      </c>
      <c r="B31" s="151">
        <v>71047</v>
      </c>
      <c r="C31" s="21">
        <v>24</v>
      </c>
      <c r="D31" s="22">
        <v>77.489999999999995</v>
      </c>
      <c r="E31" s="151" t="s">
        <v>163</v>
      </c>
      <c r="F31" s="23" t="s">
        <v>164</v>
      </c>
      <c r="G31" s="151" t="s">
        <v>165</v>
      </c>
      <c r="H31" s="151" t="s">
        <v>141</v>
      </c>
      <c r="I31" s="123" t="s">
        <v>65</v>
      </c>
      <c r="J31" s="148">
        <v>42664</v>
      </c>
      <c r="K31" s="21">
        <v>10</v>
      </c>
      <c r="L31" s="25">
        <v>1</v>
      </c>
      <c r="M31" s="22">
        <v>77.489999999999995</v>
      </c>
      <c r="N31" s="155">
        <f t="shared" si="1"/>
        <v>77.489999999999995</v>
      </c>
      <c r="O31" s="7"/>
      <c r="P31" s="27">
        <v>1</v>
      </c>
      <c r="Q31" s="27">
        <v>0</v>
      </c>
      <c r="R31" s="27">
        <v>0</v>
      </c>
      <c r="S31" s="27">
        <v>0</v>
      </c>
      <c r="T31" s="27">
        <v>0</v>
      </c>
      <c r="U31" s="28">
        <f t="shared" si="2"/>
        <v>1</v>
      </c>
      <c r="V31" s="21"/>
      <c r="W31" s="29">
        <f t="shared" si="3"/>
        <v>77.489999999999995</v>
      </c>
      <c r="X31" s="29">
        <f t="shared" si="3"/>
        <v>0</v>
      </c>
      <c r="Y31" s="29">
        <f t="shared" si="3"/>
        <v>0</v>
      </c>
      <c r="Z31" s="29">
        <f t="shared" si="3"/>
        <v>0</v>
      </c>
      <c r="AA31" s="29">
        <f t="shared" si="3"/>
        <v>0</v>
      </c>
    </row>
    <row r="32" spans="1:27" s="30" customFormat="1" ht="12.75" hidden="1" x14ac:dyDescent="0.2">
      <c r="A32" s="20" t="s">
        <v>166</v>
      </c>
      <c r="B32" s="21">
        <v>2358</v>
      </c>
      <c r="C32" s="21">
        <v>25</v>
      </c>
      <c r="D32" s="22">
        <v>574</v>
      </c>
      <c r="E32" s="23" t="s">
        <v>163</v>
      </c>
      <c r="F32" s="23" t="s">
        <v>167</v>
      </c>
      <c r="G32" s="23" t="s">
        <v>168</v>
      </c>
      <c r="H32" s="23" t="s">
        <v>169</v>
      </c>
      <c r="I32" s="23" t="s">
        <v>66</v>
      </c>
      <c r="J32" s="24">
        <v>42398</v>
      </c>
      <c r="K32" s="21">
        <v>1</v>
      </c>
      <c r="L32" s="25">
        <v>1</v>
      </c>
      <c r="M32" s="22">
        <v>574</v>
      </c>
      <c r="N32" s="26">
        <f t="shared" si="1"/>
        <v>574</v>
      </c>
      <c r="O32" s="7"/>
      <c r="P32" s="27">
        <v>1</v>
      </c>
      <c r="Q32" s="27">
        <v>0</v>
      </c>
      <c r="R32" s="27">
        <v>0</v>
      </c>
      <c r="S32" s="27">
        <v>0</v>
      </c>
      <c r="T32" s="27">
        <v>0</v>
      </c>
      <c r="U32" s="28">
        <f t="shared" si="2"/>
        <v>1</v>
      </c>
      <c r="V32" s="21"/>
      <c r="W32" s="29">
        <f t="shared" si="3"/>
        <v>574</v>
      </c>
      <c r="X32" s="29">
        <f t="shared" si="3"/>
        <v>0</v>
      </c>
      <c r="Y32" s="29">
        <f t="shared" si="3"/>
        <v>0</v>
      </c>
      <c r="Z32" s="29">
        <f t="shared" si="3"/>
        <v>0</v>
      </c>
      <c r="AA32" s="29">
        <f t="shared" si="3"/>
        <v>0</v>
      </c>
    </row>
    <row r="33" spans="1:27" s="30" customFormat="1" ht="12.75" hidden="1" x14ac:dyDescent="0.2">
      <c r="A33" s="20" t="s">
        <v>166</v>
      </c>
      <c r="B33" s="21">
        <v>2389</v>
      </c>
      <c r="C33" s="21">
        <v>26</v>
      </c>
      <c r="D33" s="22">
        <v>210</v>
      </c>
      <c r="E33" s="23" t="s">
        <v>163</v>
      </c>
      <c r="F33" s="23" t="s">
        <v>167</v>
      </c>
      <c r="G33" s="23" t="s">
        <v>168</v>
      </c>
      <c r="H33" s="23" t="s">
        <v>169</v>
      </c>
      <c r="I33" s="23" t="s">
        <v>66</v>
      </c>
      <c r="J33" s="24">
        <v>42416</v>
      </c>
      <c r="K33" s="21">
        <v>2</v>
      </c>
      <c r="L33" s="25">
        <v>1</v>
      </c>
      <c r="M33" s="22">
        <v>210</v>
      </c>
      <c r="N33" s="26">
        <f t="shared" si="1"/>
        <v>210</v>
      </c>
      <c r="O33" s="7"/>
      <c r="P33" s="27">
        <v>1</v>
      </c>
      <c r="Q33" s="27">
        <v>0</v>
      </c>
      <c r="R33" s="27">
        <v>0</v>
      </c>
      <c r="S33" s="27">
        <v>0</v>
      </c>
      <c r="T33" s="27">
        <v>0</v>
      </c>
      <c r="U33" s="28">
        <f t="shared" si="2"/>
        <v>1</v>
      </c>
      <c r="V33" s="21"/>
      <c r="W33" s="29">
        <f t="shared" si="3"/>
        <v>210</v>
      </c>
      <c r="X33" s="29">
        <f t="shared" si="3"/>
        <v>0</v>
      </c>
      <c r="Y33" s="29">
        <f t="shared" si="3"/>
        <v>0</v>
      </c>
      <c r="Z33" s="29">
        <f t="shared" si="3"/>
        <v>0</v>
      </c>
      <c r="AA33" s="29">
        <f t="shared" si="3"/>
        <v>0</v>
      </c>
    </row>
    <row r="34" spans="1:27" s="30" customFormat="1" ht="12.75" hidden="1" x14ac:dyDescent="0.2">
      <c r="A34" s="20" t="s">
        <v>94</v>
      </c>
      <c r="B34" s="21">
        <v>7567</v>
      </c>
      <c r="C34" s="21">
        <v>27</v>
      </c>
      <c r="D34" s="22">
        <v>450</v>
      </c>
      <c r="E34" s="23" t="s">
        <v>163</v>
      </c>
      <c r="F34" s="23" t="s">
        <v>112</v>
      </c>
      <c r="G34" s="23" t="s">
        <v>113</v>
      </c>
      <c r="H34" s="23" t="s">
        <v>170</v>
      </c>
      <c r="I34" s="23" t="s">
        <v>66</v>
      </c>
      <c r="J34" s="24">
        <v>42548</v>
      </c>
      <c r="K34" s="21">
        <v>6</v>
      </c>
      <c r="L34" s="25">
        <v>1</v>
      </c>
      <c r="M34" s="22">
        <v>450</v>
      </c>
      <c r="N34" s="26">
        <f t="shared" si="1"/>
        <v>450</v>
      </c>
      <c r="O34" s="7"/>
      <c r="P34" s="27">
        <v>1</v>
      </c>
      <c r="Q34" s="27">
        <v>0</v>
      </c>
      <c r="R34" s="27">
        <v>0</v>
      </c>
      <c r="S34" s="27">
        <v>0</v>
      </c>
      <c r="T34" s="27">
        <v>0</v>
      </c>
      <c r="U34" s="28">
        <f t="shared" si="2"/>
        <v>1</v>
      </c>
      <c r="V34" s="21"/>
      <c r="W34" s="29">
        <f t="shared" si="3"/>
        <v>450</v>
      </c>
      <c r="X34" s="29">
        <f t="shared" si="3"/>
        <v>0</v>
      </c>
      <c r="Y34" s="29">
        <f t="shared" si="3"/>
        <v>0</v>
      </c>
      <c r="Z34" s="29">
        <f t="shared" si="3"/>
        <v>0</v>
      </c>
      <c r="AA34" s="29">
        <f t="shared" si="3"/>
        <v>0</v>
      </c>
    </row>
    <row r="35" spans="1:27" s="30" customFormat="1" ht="12.75" x14ac:dyDescent="0.2">
      <c r="A35" s="20" t="s">
        <v>103</v>
      </c>
      <c r="B35" s="151"/>
      <c r="C35" s="21">
        <v>28</v>
      </c>
      <c r="D35" s="22">
        <v>315.63</v>
      </c>
      <c r="E35" s="151" t="s">
        <v>171</v>
      </c>
      <c r="F35" s="23"/>
      <c r="G35" s="151"/>
      <c r="H35" s="151" t="s">
        <v>172</v>
      </c>
      <c r="I35" s="23" t="s">
        <v>65</v>
      </c>
      <c r="J35" s="148">
        <v>42667</v>
      </c>
      <c r="K35" s="21">
        <v>10</v>
      </c>
      <c r="L35" s="25">
        <v>1</v>
      </c>
      <c r="M35" s="22">
        <v>315.63</v>
      </c>
      <c r="N35" s="155">
        <f t="shared" si="1"/>
        <v>315.63</v>
      </c>
      <c r="O35" s="7"/>
      <c r="P35" s="27">
        <v>1</v>
      </c>
      <c r="Q35" s="27">
        <v>0</v>
      </c>
      <c r="R35" s="27">
        <v>0</v>
      </c>
      <c r="S35" s="27">
        <v>0</v>
      </c>
      <c r="T35" s="27">
        <v>0</v>
      </c>
      <c r="U35" s="28">
        <f t="shared" si="2"/>
        <v>1</v>
      </c>
      <c r="V35" s="21"/>
      <c r="W35" s="29">
        <f t="shared" si="3"/>
        <v>315.63</v>
      </c>
      <c r="X35" s="29">
        <f t="shared" si="3"/>
        <v>0</v>
      </c>
      <c r="Y35" s="29">
        <f t="shared" si="3"/>
        <v>0</v>
      </c>
      <c r="Z35" s="29">
        <f t="shared" si="3"/>
        <v>0</v>
      </c>
      <c r="AA35" s="29">
        <f t="shared" si="3"/>
        <v>0</v>
      </c>
    </row>
    <row r="36" spans="1:27" s="30" customFormat="1" ht="12.75" x14ac:dyDescent="0.2">
      <c r="A36" s="20" t="s">
        <v>94</v>
      </c>
      <c r="B36" s="151">
        <v>158262</v>
      </c>
      <c r="C36" s="21">
        <v>29</v>
      </c>
      <c r="D36" s="22">
        <v>25.18</v>
      </c>
      <c r="E36" s="151" t="s">
        <v>173</v>
      </c>
      <c r="F36" s="23" t="s">
        <v>174</v>
      </c>
      <c r="G36" s="151" t="s">
        <v>175</v>
      </c>
      <c r="H36" s="151" t="s">
        <v>176</v>
      </c>
      <c r="I36" s="123" t="s">
        <v>65</v>
      </c>
      <c r="J36" s="148">
        <v>42554</v>
      </c>
      <c r="K36" s="21">
        <v>7</v>
      </c>
      <c r="L36" s="25">
        <v>1</v>
      </c>
      <c r="M36" s="22">
        <v>25.18</v>
      </c>
      <c r="N36" s="155">
        <f t="shared" si="1"/>
        <v>25.18</v>
      </c>
      <c r="O36" s="7"/>
      <c r="P36" s="27">
        <v>0</v>
      </c>
      <c r="Q36" s="27">
        <v>1</v>
      </c>
      <c r="R36" s="27">
        <v>0</v>
      </c>
      <c r="S36" s="27">
        <v>0</v>
      </c>
      <c r="T36" s="27">
        <v>0</v>
      </c>
      <c r="U36" s="28">
        <f t="shared" si="2"/>
        <v>1</v>
      </c>
      <c r="V36" s="21"/>
      <c r="W36" s="29">
        <f t="shared" si="3"/>
        <v>0</v>
      </c>
      <c r="X36" s="29">
        <f t="shared" si="3"/>
        <v>25.18</v>
      </c>
      <c r="Y36" s="29">
        <f t="shared" si="3"/>
        <v>0</v>
      </c>
      <c r="Z36" s="29">
        <f t="shared" si="3"/>
        <v>0</v>
      </c>
      <c r="AA36" s="29">
        <f t="shared" si="3"/>
        <v>0</v>
      </c>
    </row>
    <row r="37" spans="1:27" s="30" customFormat="1" ht="12.75" hidden="1" x14ac:dyDescent="0.2">
      <c r="A37" s="20" t="s">
        <v>94</v>
      </c>
      <c r="B37" s="21">
        <v>84232</v>
      </c>
      <c r="C37" s="21">
        <v>30</v>
      </c>
      <c r="D37" s="22">
        <v>956.4</v>
      </c>
      <c r="E37" s="23" t="s">
        <v>177</v>
      </c>
      <c r="F37" s="23" t="s">
        <v>115</v>
      </c>
      <c r="G37" s="23" t="s">
        <v>116</v>
      </c>
      <c r="H37" s="23" t="s">
        <v>117</v>
      </c>
      <c r="I37" s="23" t="s">
        <v>66</v>
      </c>
      <c r="J37" s="24">
        <v>42681</v>
      </c>
      <c r="K37" s="21">
        <v>11</v>
      </c>
      <c r="L37" s="25">
        <v>1</v>
      </c>
      <c r="M37" s="22">
        <v>956.4</v>
      </c>
      <c r="N37" s="26">
        <f t="shared" si="1"/>
        <v>956.4</v>
      </c>
      <c r="O37" s="7"/>
      <c r="P37" s="27">
        <v>0.5</v>
      </c>
      <c r="Q37" s="27">
        <v>0.5</v>
      </c>
      <c r="R37" s="27">
        <v>0</v>
      </c>
      <c r="S37" s="27">
        <v>0</v>
      </c>
      <c r="T37" s="27">
        <v>0</v>
      </c>
      <c r="U37" s="28">
        <f t="shared" si="2"/>
        <v>1</v>
      </c>
      <c r="V37" s="21"/>
      <c r="W37" s="29">
        <f t="shared" si="3"/>
        <v>478.2</v>
      </c>
      <c r="X37" s="29">
        <f t="shared" si="3"/>
        <v>478.2</v>
      </c>
      <c r="Y37" s="29">
        <f t="shared" si="3"/>
        <v>0</v>
      </c>
      <c r="Z37" s="29">
        <f t="shared" si="3"/>
        <v>0</v>
      </c>
      <c r="AA37" s="29">
        <f t="shared" si="3"/>
        <v>0</v>
      </c>
    </row>
    <row r="38" spans="1:27" s="30" customFormat="1" ht="12.75" hidden="1" x14ac:dyDescent="0.2">
      <c r="A38" s="20" t="s">
        <v>94</v>
      </c>
      <c r="B38" s="21">
        <v>15516</v>
      </c>
      <c r="C38" s="21">
        <v>31</v>
      </c>
      <c r="D38" s="22">
        <v>1772.25</v>
      </c>
      <c r="E38" s="23" t="s">
        <v>178</v>
      </c>
      <c r="F38" s="23" t="s">
        <v>112</v>
      </c>
      <c r="G38" s="23" t="s">
        <v>113</v>
      </c>
      <c r="H38" s="23" t="s">
        <v>179</v>
      </c>
      <c r="I38" s="23" t="s">
        <v>66</v>
      </c>
      <c r="J38" s="24">
        <v>42733</v>
      </c>
      <c r="K38" s="21">
        <v>12</v>
      </c>
      <c r="L38" s="25">
        <v>1</v>
      </c>
      <c r="M38" s="22">
        <v>1772.25</v>
      </c>
      <c r="N38" s="26">
        <f t="shared" si="1"/>
        <v>1772.25</v>
      </c>
      <c r="O38" s="7"/>
      <c r="P38" s="27">
        <v>0</v>
      </c>
      <c r="Q38" s="27">
        <v>0.66666666666666674</v>
      </c>
      <c r="R38" s="27">
        <v>0.33333333333333337</v>
      </c>
      <c r="S38" s="27">
        <v>0</v>
      </c>
      <c r="T38" s="27">
        <v>0</v>
      </c>
      <c r="U38" s="28">
        <f t="shared" si="2"/>
        <v>1</v>
      </c>
      <c r="V38" s="21"/>
      <c r="W38" s="29">
        <f t="shared" si="3"/>
        <v>0</v>
      </c>
      <c r="X38" s="29">
        <f t="shared" si="3"/>
        <v>1181.5000000000002</v>
      </c>
      <c r="Y38" s="29">
        <f t="shared" si="3"/>
        <v>590.75000000000011</v>
      </c>
      <c r="Z38" s="29">
        <f t="shared" si="3"/>
        <v>0</v>
      </c>
      <c r="AA38" s="29">
        <f t="shared" si="3"/>
        <v>0</v>
      </c>
    </row>
    <row r="39" spans="1:27" s="30" customFormat="1" ht="12.75" hidden="1" x14ac:dyDescent="0.2">
      <c r="A39" s="20" t="s">
        <v>94</v>
      </c>
      <c r="B39" s="21">
        <v>27583</v>
      </c>
      <c r="C39" s="21">
        <v>32</v>
      </c>
      <c r="D39" s="22">
        <v>305</v>
      </c>
      <c r="E39" s="23" t="s">
        <v>180</v>
      </c>
      <c r="F39" s="23" t="s">
        <v>159</v>
      </c>
      <c r="G39" s="23" t="s">
        <v>160</v>
      </c>
      <c r="H39" s="23" t="s">
        <v>181</v>
      </c>
      <c r="I39" s="23" t="s">
        <v>66</v>
      </c>
      <c r="J39" s="24">
        <v>42615</v>
      </c>
      <c r="K39" s="21">
        <v>9</v>
      </c>
      <c r="L39" s="25">
        <v>1</v>
      </c>
      <c r="M39" s="22">
        <v>305</v>
      </c>
      <c r="N39" s="26">
        <f t="shared" si="1"/>
        <v>305</v>
      </c>
      <c r="O39" s="7"/>
      <c r="P39" s="27">
        <v>0</v>
      </c>
      <c r="Q39" s="27">
        <v>0.8</v>
      </c>
      <c r="R39" s="27">
        <v>0.2</v>
      </c>
      <c r="S39" s="27">
        <v>0</v>
      </c>
      <c r="T39" s="27">
        <v>0</v>
      </c>
      <c r="U39" s="28">
        <f t="shared" si="2"/>
        <v>1</v>
      </c>
      <c r="V39" s="21"/>
      <c r="W39" s="29">
        <f t="shared" si="3"/>
        <v>0</v>
      </c>
      <c r="X39" s="29">
        <f t="shared" si="3"/>
        <v>244</v>
      </c>
      <c r="Y39" s="29">
        <f t="shared" si="3"/>
        <v>61</v>
      </c>
      <c r="Z39" s="29">
        <f t="shared" si="3"/>
        <v>0</v>
      </c>
      <c r="AA39" s="29">
        <f t="shared" si="3"/>
        <v>0</v>
      </c>
    </row>
    <row r="40" spans="1:27" s="30" customFormat="1" ht="12.75" hidden="1" x14ac:dyDescent="0.2">
      <c r="A40" s="20" t="s">
        <v>94</v>
      </c>
      <c r="B40" s="21">
        <v>13354</v>
      </c>
      <c r="C40" s="21">
        <v>33</v>
      </c>
      <c r="D40" s="22">
        <v>1344.25</v>
      </c>
      <c r="E40" s="23" t="s">
        <v>182</v>
      </c>
      <c r="F40" s="23" t="s">
        <v>112</v>
      </c>
      <c r="G40" s="23" t="s">
        <v>113</v>
      </c>
      <c r="H40" s="23" t="s">
        <v>183</v>
      </c>
      <c r="I40" s="23" t="s">
        <v>66</v>
      </c>
      <c r="J40" s="24">
        <v>42683</v>
      </c>
      <c r="K40" s="21">
        <v>11</v>
      </c>
      <c r="L40" s="25">
        <v>1</v>
      </c>
      <c r="M40" s="22">
        <v>1344.25</v>
      </c>
      <c r="N40" s="26">
        <f t="shared" si="1"/>
        <v>1344.25</v>
      </c>
      <c r="O40" s="7"/>
      <c r="P40" s="27">
        <v>0</v>
      </c>
      <c r="Q40" s="27">
        <v>0.5</v>
      </c>
      <c r="R40" s="27">
        <v>0.5</v>
      </c>
      <c r="S40" s="27">
        <v>0</v>
      </c>
      <c r="T40" s="27">
        <v>0</v>
      </c>
      <c r="U40" s="28">
        <f t="shared" si="2"/>
        <v>1</v>
      </c>
      <c r="V40" s="21"/>
      <c r="W40" s="29">
        <f t="shared" si="3"/>
        <v>0</v>
      </c>
      <c r="X40" s="29">
        <f t="shared" si="3"/>
        <v>672.125</v>
      </c>
      <c r="Y40" s="29">
        <f t="shared" si="3"/>
        <v>672.125</v>
      </c>
      <c r="Z40" s="29">
        <f t="shared" si="3"/>
        <v>0</v>
      </c>
      <c r="AA40" s="29">
        <f t="shared" si="3"/>
        <v>0</v>
      </c>
    </row>
    <row r="41" spans="1:27" s="30" customFormat="1" ht="12.75" hidden="1" x14ac:dyDescent="0.2">
      <c r="A41" s="20" t="s">
        <v>94</v>
      </c>
      <c r="B41" s="21">
        <v>8891</v>
      </c>
      <c r="C41" s="21">
        <v>34</v>
      </c>
      <c r="D41" s="22">
        <v>4254.3</v>
      </c>
      <c r="E41" s="23" t="s">
        <v>184</v>
      </c>
      <c r="F41" s="23" t="s">
        <v>112</v>
      </c>
      <c r="G41" s="23" t="s">
        <v>113</v>
      </c>
      <c r="H41" s="23" t="s">
        <v>185</v>
      </c>
      <c r="I41" s="23" t="s">
        <v>66</v>
      </c>
      <c r="J41" s="24">
        <v>42578</v>
      </c>
      <c r="K41" s="21">
        <v>7</v>
      </c>
      <c r="L41" s="25">
        <v>1</v>
      </c>
      <c r="M41" s="22">
        <v>4254.3</v>
      </c>
      <c r="N41" s="26">
        <f t="shared" si="1"/>
        <v>4254.3</v>
      </c>
      <c r="O41" s="7"/>
      <c r="P41" s="27">
        <v>0.04</v>
      </c>
      <c r="Q41" s="27">
        <v>0.08</v>
      </c>
      <c r="R41" s="27">
        <v>0.88</v>
      </c>
      <c r="S41" s="27">
        <v>0</v>
      </c>
      <c r="T41" s="27">
        <v>0</v>
      </c>
      <c r="U41" s="28">
        <f t="shared" si="2"/>
        <v>1</v>
      </c>
      <c r="V41" s="21"/>
      <c r="W41" s="29">
        <f t="shared" si="3"/>
        <v>170.172</v>
      </c>
      <c r="X41" s="29">
        <f t="shared" si="3"/>
        <v>340.34399999999999</v>
      </c>
      <c r="Y41" s="29">
        <f t="shared" si="3"/>
        <v>3743.7840000000001</v>
      </c>
      <c r="Z41" s="29">
        <f t="shared" si="3"/>
        <v>0</v>
      </c>
      <c r="AA41" s="29">
        <f t="shared" si="3"/>
        <v>0</v>
      </c>
    </row>
    <row r="42" spans="1:27" s="30" customFormat="1" ht="12.75" hidden="1" x14ac:dyDescent="0.2">
      <c r="A42" s="20" t="s">
        <v>94</v>
      </c>
      <c r="B42" s="21">
        <v>5003</v>
      </c>
      <c r="C42" s="21">
        <v>35</v>
      </c>
      <c r="D42" s="22">
        <v>2550.17</v>
      </c>
      <c r="E42" s="23" t="s">
        <v>186</v>
      </c>
      <c r="F42" s="23" t="s">
        <v>112</v>
      </c>
      <c r="G42" s="23" t="s">
        <v>113</v>
      </c>
      <c r="H42" s="23" t="s">
        <v>187</v>
      </c>
      <c r="I42" s="23" t="s">
        <v>66</v>
      </c>
      <c r="J42" s="24">
        <v>42496</v>
      </c>
      <c r="K42" s="21">
        <v>2</v>
      </c>
      <c r="L42" s="25">
        <v>0.45101799999999997</v>
      </c>
      <c r="M42" s="22">
        <v>2550.17</v>
      </c>
      <c r="N42" s="26">
        <f t="shared" si="1"/>
        <v>1150.1725730599999</v>
      </c>
      <c r="O42" s="7"/>
      <c r="P42" s="27">
        <v>0</v>
      </c>
      <c r="Q42" s="27">
        <v>1</v>
      </c>
      <c r="R42" s="27">
        <v>0</v>
      </c>
      <c r="S42" s="27">
        <v>0</v>
      </c>
      <c r="T42" s="27">
        <v>0</v>
      </c>
      <c r="U42" s="28">
        <f t="shared" si="2"/>
        <v>1</v>
      </c>
      <c r="V42" s="21"/>
      <c r="W42" s="29">
        <f t="shared" si="3"/>
        <v>0</v>
      </c>
      <c r="X42" s="29">
        <f t="shared" si="3"/>
        <v>1150.1725730599999</v>
      </c>
      <c r="Y42" s="29">
        <f t="shared" si="3"/>
        <v>0</v>
      </c>
      <c r="Z42" s="29">
        <f t="shared" si="3"/>
        <v>0</v>
      </c>
      <c r="AA42" s="29">
        <f t="shared" si="3"/>
        <v>0</v>
      </c>
    </row>
    <row r="43" spans="1:27" s="30" customFormat="1" ht="12.75" hidden="1" x14ac:dyDescent="0.2">
      <c r="A43" s="20" t="s">
        <v>94</v>
      </c>
      <c r="B43" s="21">
        <v>28066</v>
      </c>
      <c r="C43" s="21">
        <v>36</v>
      </c>
      <c r="D43" s="22">
        <v>990</v>
      </c>
      <c r="E43" s="23" t="s">
        <v>188</v>
      </c>
      <c r="F43" s="23" t="s">
        <v>159</v>
      </c>
      <c r="G43" s="23" t="s">
        <v>160</v>
      </c>
      <c r="H43" s="23" t="s">
        <v>189</v>
      </c>
      <c r="I43" s="23" t="s">
        <v>66</v>
      </c>
      <c r="J43" s="24">
        <v>42677</v>
      </c>
      <c r="K43" s="21">
        <v>2</v>
      </c>
      <c r="L43" s="25">
        <v>0.42929</v>
      </c>
      <c r="M43" s="22">
        <v>990</v>
      </c>
      <c r="N43" s="26">
        <f t="shared" si="1"/>
        <v>424.99709999999999</v>
      </c>
      <c r="O43" s="7"/>
      <c r="P43" s="27">
        <v>0.33333333333333337</v>
      </c>
      <c r="Q43" s="27">
        <v>0.33333333333333337</v>
      </c>
      <c r="R43" s="27">
        <v>0</v>
      </c>
      <c r="S43" s="27">
        <v>0.33333333333333337</v>
      </c>
      <c r="T43" s="27">
        <v>0</v>
      </c>
      <c r="U43" s="28">
        <f t="shared" si="2"/>
        <v>1</v>
      </c>
      <c r="V43" s="21"/>
      <c r="W43" s="29">
        <f t="shared" si="3"/>
        <v>141.66570000000002</v>
      </c>
      <c r="X43" s="29">
        <f t="shared" si="3"/>
        <v>141.66570000000002</v>
      </c>
      <c r="Y43" s="29">
        <f t="shared" si="3"/>
        <v>0</v>
      </c>
      <c r="Z43" s="29">
        <f t="shared" si="3"/>
        <v>141.66570000000002</v>
      </c>
      <c r="AA43" s="29">
        <f t="shared" si="3"/>
        <v>0</v>
      </c>
    </row>
    <row r="44" spans="1:27" s="30" customFormat="1" ht="12.75" x14ac:dyDescent="0.2">
      <c r="A44" s="20" t="s">
        <v>190</v>
      </c>
      <c r="B44" s="151"/>
      <c r="C44" s="21">
        <v>37</v>
      </c>
      <c r="D44" s="22">
        <v>347.04</v>
      </c>
      <c r="E44" s="151" t="s">
        <v>191</v>
      </c>
      <c r="F44" s="23"/>
      <c r="G44" s="151"/>
      <c r="H44" s="151" t="s">
        <v>192</v>
      </c>
      <c r="I44" s="123" t="s">
        <v>65</v>
      </c>
      <c r="J44" s="148">
        <v>42607</v>
      </c>
      <c r="K44" s="21">
        <v>8</v>
      </c>
      <c r="L44" s="25">
        <v>1</v>
      </c>
      <c r="M44" s="22">
        <v>347.04</v>
      </c>
      <c r="N44" s="155">
        <f t="shared" si="1"/>
        <v>347.04</v>
      </c>
      <c r="O44" s="7"/>
      <c r="P44" s="27">
        <v>0</v>
      </c>
      <c r="Q44" s="27">
        <v>1</v>
      </c>
      <c r="R44" s="27">
        <v>0</v>
      </c>
      <c r="S44" s="27">
        <v>0</v>
      </c>
      <c r="T44" s="27">
        <v>0</v>
      </c>
      <c r="U44" s="28">
        <f t="shared" si="2"/>
        <v>1</v>
      </c>
      <c r="V44" s="21"/>
      <c r="W44" s="29">
        <f t="shared" si="3"/>
        <v>0</v>
      </c>
      <c r="X44" s="29">
        <f t="shared" si="3"/>
        <v>347.04</v>
      </c>
      <c r="Y44" s="29">
        <f t="shared" si="3"/>
        <v>0</v>
      </c>
      <c r="Z44" s="29">
        <f t="shared" si="3"/>
        <v>0</v>
      </c>
      <c r="AA44" s="29">
        <f t="shared" si="3"/>
        <v>0</v>
      </c>
    </row>
    <row r="45" spans="1:27" s="30" customFormat="1" ht="12.75" hidden="1" x14ac:dyDescent="0.2">
      <c r="A45" s="20" t="s">
        <v>94</v>
      </c>
      <c r="B45" s="21">
        <v>74225</v>
      </c>
      <c r="C45" s="21">
        <v>38</v>
      </c>
      <c r="D45" s="22">
        <v>281.93</v>
      </c>
      <c r="E45" s="23" t="s">
        <v>193</v>
      </c>
      <c r="F45" s="23" t="s">
        <v>194</v>
      </c>
      <c r="G45" s="23" t="s">
        <v>195</v>
      </c>
      <c r="H45" s="23" t="s">
        <v>196</v>
      </c>
      <c r="I45" s="23" t="s">
        <v>66</v>
      </c>
      <c r="J45" s="24">
        <v>42662</v>
      </c>
      <c r="K45" s="21">
        <v>10</v>
      </c>
      <c r="L45" s="25">
        <v>1</v>
      </c>
      <c r="M45" s="22">
        <v>281.93</v>
      </c>
      <c r="N45" s="26">
        <f t="shared" si="1"/>
        <v>281.93</v>
      </c>
      <c r="O45" s="7"/>
      <c r="P45" s="27">
        <v>0</v>
      </c>
      <c r="Q45" s="27">
        <v>0</v>
      </c>
      <c r="R45" s="27">
        <v>0</v>
      </c>
      <c r="S45" s="27">
        <v>1</v>
      </c>
      <c r="T45" s="27">
        <v>0</v>
      </c>
      <c r="U45" s="28">
        <f t="shared" si="2"/>
        <v>1</v>
      </c>
      <c r="V45" s="21"/>
      <c r="W45" s="29">
        <f t="shared" si="3"/>
        <v>0</v>
      </c>
      <c r="X45" s="29">
        <f t="shared" si="3"/>
        <v>0</v>
      </c>
      <c r="Y45" s="29">
        <f t="shared" si="3"/>
        <v>0</v>
      </c>
      <c r="Z45" s="29">
        <f t="shared" si="3"/>
        <v>281.93</v>
      </c>
      <c r="AA45" s="29">
        <f t="shared" si="3"/>
        <v>0</v>
      </c>
    </row>
    <row r="46" spans="1:27" s="30" customFormat="1" ht="12.75" hidden="1" x14ac:dyDescent="0.2">
      <c r="A46" s="20" t="s">
        <v>94</v>
      </c>
      <c r="B46" s="21">
        <v>69032</v>
      </c>
      <c r="C46" s="21">
        <v>39</v>
      </c>
      <c r="D46" s="22">
        <v>710.15</v>
      </c>
      <c r="E46" s="23" t="s">
        <v>197</v>
      </c>
      <c r="F46" s="23" t="s">
        <v>194</v>
      </c>
      <c r="G46" s="23" t="s">
        <v>195</v>
      </c>
      <c r="H46" s="23" t="s">
        <v>198</v>
      </c>
      <c r="I46" s="23" t="s">
        <v>66</v>
      </c>
      <c r="J46" s="24">
        <v>42404</v>
      </c>
      <c r="K46" s="21">
        <v>2</v>
      </c>
      <c r="L46" s="25">
        <v>1</v>
      </c>
      <c r="M46" s="22">
        <v>710.15</v>
      </c>
      <c r="N46" s="26">
        <f t="shared" si="1"/>
        <v>710.15</v>
      </c>
      <c r="O46" s="7"/>
      <c r="P46" s="27">
        <v>0</v>
      </c>
      <c r="Q46" s="27">
        <v>0</v>
      </c>
      <c r="R46" s="27">
        <v>0</v>
      </c>
      <c r="S46" s="27">
        <v>1</v>
      </c>
      <c r="T46" s="27">
        <v>0</v>
      </c>
      <c r="U46" s="28">
        <f t="shared" si="2"/>
        <v>1</v>
      </c>
      <c r="V46" s="21"/>
      <c r="W46" s="29">
        <f t="shared" si="3"/>
        <v>0</v>
      </c>
      <c r="X46" s="29">
        <f t="shared" si="3"/>
        <v>0</v>
      </c>
      <c r="Y46" s="29">
        <f t="shared" si="3"/>
        <v>0</v>
      </c>
      <c r="Z46" s="29">
        <f t="shared" si="3"/>
        <v>710.15</v>
      </c>
      <c r="AA46" s="29">
        <f t="shared" si="3"/>
        <v>0</v>
      </c>
    </row>
    <row r="47" spans="1:27" s="30" customFormat="1" ht="12.75" hidden="1" x14ac:dyDescent="0.2">
      <c r="A47" s="20" t="s">
        <v>94</v>
      </c>
      <c r="B47" s="21">
        <v>7976</v>
      </c>
      <c r="C47" s="21">
        <v>40</v>
      </c>
      <c r="D47" s="22">
        <v>290</v>
      </c>
      <c r="E47" s="23" t="s">
        <v>197</v>
      </c>
      <c r="F47" s="23" t="s">
        <v>112</v>
      </c>
      <c r="G47" s="23" t="s">
        <v>113</v>
      </c>
      <c r="H47" s="23" t="s">
        <v>199</v>
      </c>
      <c r="I47" s="23" t="s">
        <v>66</v>
      </c>
      <c r="J47" s="24">
        <v>42557</v>
      </c>
      <c r="K47" s="21">
        <v>7</v>
      </c>
      <c r="L47" s="25">
        <v>1</v>
      </c>
      <c r="M47" s="22">
        <v>290</v>
      </c>
      <c r="N47" s="26">
        <f t="shared" si="1"/>
        <v>290</v>
      </c>
      <c r="O47" s="7"/>
      <c r="P47" s="27">
        <v>0</v>
      </c>
      <c r="Q47" s="27">
        <v>0</v>
      </c>
      <c r="R47" s="27">
        <v>0</v>
      </c>
      <c r="S47" s="27">
        <v>1</v>
      </c>
      <c r="T47" s="27">
        <v>0</v>
      </c>
      <c r="U47" s="28">
        <f t="shared" si="2"/>
        <v>1</v>
      </c>
      <c r="V47" s="21"/>
      <c r="W47" s="29">
        <f t="shared" si="3"/>
        <v>0</v>
      </c>
      <c r="X47" s="29">
        <f t="shared" si="3"/>
        <v>0</v>
      </c>
      <c r="Y47" s="29">
        <f t="shared" si="3"/>
        <v>0</v>
      </c>
      <c r="Z47" s="29">
        <f t="shared" si="3"/>
        <v>290</v>
      </c>
      <c r="AA47" s="29">
        <f t="shared" si="3"/>
        <v>0</v>
      </c>
    </row>
    <row r="48" spans="1:27" s="30" customFormat="1" ht="12.75" hidden="1" x14ac:dyDescent="0.2">
      <c r="A48" s="20" t="s">
        <v>94</v>
      </c>
      <c r="B48" s="21">
        <v>15490</v>
      </c>
      <c r="C48" s="21">
        <v>41</v>
      </c>
      <c r="D48" s="22">
        <v>1330</v>
      </c>
      <c r="E48" s="23" t="s">
        <v>200</v>
      </c>
      <c r="F48" s="23" t="s">
        <v>201</v>
      </c>
      <c r="G48" s="23" t="s">
        <v>202</v>
      </c>
      <c r="H48" s="23" t="s">
        <v>203</v>
      </c>
      <c r="I48" s="23" t="s">
        <v>66</v>
      </c>
      <c r="J48" s="24">
        <v>42495</v>
      </c>
      <c r="K48" s="21">
        <v>5</v>
      </c>
      <c r="L48" s="25">
        <v>1</v>
      </c>
      <c r="M48" s="22">
        <v>1330</v>
      </c>
      <c r="N48" s="26">
        <f t="shared" si="1"/>
        <v>1330</v>
      </c>
      <c r="O48" s="7"/>
      <c r="P48" s="27">
        <v>0.14285714285714288</v>
      </c>
      <c r="Q48" s="27">
        <v>0</v>
      </c>
      <c r="R48" s="27">
        <v>0</v>
      </c>
      <c r="S48" s="27">
        <v>0.8571428571428571</v>
      </c>
      <c r="T48" s="27">
        <v>0</v>
      </c>
      <c r="U48" s="28">
        <f t="shared" si="2"/>
        <v>1</v>
      </c>
      <c r="V48" s="21"/>
      <c r="W48" s="29">
        <f t="shared" si="3"/>
        <v>190.00000000000003</v>
      </c>
      <c r="X48" s="29">
        <f t="shared" si="3"/>
        <v>0</v>
      </c>
      <c r="Y48" s="29">
        <f t="shared" si="3"/>
        <v>0</v>
      </c>
      <c r="Z48" s="29">
        <f t="shared" si="3"/>
        <v>1140</v>
      </c>
      <c r="AA48" s="29">
        <f t="shared" si="3"/>
        <v>0</v>
      </c>
    </row>
    <row r="49" spans="1:27" s="30" customFormat="1" ht="12.75" hidden="1" x14ac:dyDescent="0.2">
      <c r="A49" s="20" t="s">
        <v>94</v>
      </c>
      <c r="B49" s="21">
        <v>70623</v>
      </c>
      <c r="C49" s="21">
        <v>42</v>
      </c>
      <c r="D49" s="22">
        <v>1775.38</v>
      </c>
      <c r="E49" s="23" t="s">
        <v>204</v>
      </c>
      <c r="F49" s="23" t="s">
        <v>194</v>
      </c>
      <c r="G49" s="23" t="s">
        <v>195</v>
      </c>
      <c r="H49" s="23" t="s">
        <v>203</v>
      </c>
      <c r="I49" s="23" t="s">
        <v>66</v>
      </c>
      <c r="J49" s="24">
        <v>42480</v>
      </c>
      <c r="K49" s="21">
        <v>6</v>
      </c>
      <c r="L49" s="25">
        <v>1</v>
      </c>
      <c r="M49" s="22">
        <v>1775.38</v>
      </c>
      <c r="N49" s="26">
        <f t="shared" si="1"/>
        <v>1775.38</v>
      </c>
      <c r="O49" s="7"/>
      <c r="P49" s="27">
        <v>0</v>
      </c>
      <c r="Q49" s="27">
        <v>0</v>
      </c>
      <c r="R49" s="27">
        <v>0</v>
      </c>
      <c r="S49" s="27">
        <v>1</v>
      </c>
      <c r="T49" s="27">
        <v>0</v>
      </c>
      <c r="U49" s="28">
        <f t="shared" si="2"/>
        <v>1</v>
      </c>
      <c r="V49" s="21"/>
      <c r="W49" s="29">
        <f t="shared" si="3"/>
        <v>0</v>
      </c>
      <c r="X49" s="29">
        <f t="shared" si="3"/>
        <v>0</v>
      </c>
      <c r="Y49" s="29">
        <f t="shared" si="3"/>
        <v>0</v>
      </c>
      <c r="Z49" s="29">
        <f t="shared" si="3"/>
        <v>1775.38</v>
      </c>
      <c r="AA49" s="29">
        <f t="shared" si="3"/>
        <v>0</v>
      </c>
    </row>
    <row r="50" spans="1:27" s="30" customFormat="1" ht="12.75" hidden="1" x14ac:dyDescent="0.2">
      <c r="A50" s="20" t="s">
        <v>94</v>
      </c>
      <c r="B50" s="21">
        <v>17048</v>
      </c>
      <c r="C50" s="21">
        <v>43</v>
      </c>
      <c r="D50" s="22">
        <v>760</v>
      </c>
      <c r="E50" s="23" t="s">
        <v>205</v>
      </c>
      <c r="F50" s="23" t="s">
        <v>201</v>
      </c>
      <c r="G50" s="23" t="s">
        <v>202</v>
      </c>
      <c r="H50" s="23" t="s">
        <v>206</v>
      </c>
      <c r="I50" s="23" t="s">
        <v>66</v>
      </c>
      <c r="J50" s="24">
        <v>42702</v>
      </c>
      <c r="K50" s="21">
        <v>11</v>
      </c>
      <c r="L50" s="25">
        <v>1</v>
      </c>
      <c r="M50" s="22">
        <v>760</v>
      </c>
      <c r="N50" s="26">
        <f t="shared" si="1"/>
        <v>760</v>
      </c>
      <c r="O50" s="7"/>
      <c r="P50" s="27">
        <v>0</v>
      </c>
      <c r="Q50" s="27">
        <v>0</v>
      </c>
      <c r="R50" s="27">
        <v>0.75</v>
      </c>
      <c r="S50" s="27">
        <v>0.25</v>
      </c>
      <c r="T50" s="27">
        <v>0</v>
      </c>
      <c r="U50" s="28">
        <f t="shared" si="2"/>
        <v>1</v>
      </c>
      <c r="V50" s="21"/>
      <c r="W50" s="29">
        <f t="shared" si="3"/>
        <v>0</v>
      </c>
      <c r="X50" s="29">
        <f t="shared" si="3"/>
        <v>0</v>
      </c>
      <c r="Y50" s="29">
        <f t="shared" si="3"/>
        <v>570</v>
      </c>
      <c r="Z50" s="29">
        <f t="shared" si="3"/>
        <v>190</v>
      </c>
      <c r="AA50" s="29">
        <f t="shared" si="3"/>
        <v>0</v>
      </c>
    </row>
    <row r="51" spans="1:27" s="30" customFormat="1" ht="12.75" hidden="1" x14ac:dyDescent="0.2">
      <c r="A51" s="20" t="s">
        <v>94</v>
      </c>
      <c r="B51" s="21">
        <v>16158</v>
      </c>
      <c r="C51" s="21">
        <v>44</v>
      </c>
      <c r="D51" s="22">
        <v>380</v>
      </c>
      <c r="E51" s="23" t="s">
        <v>207</v>
      </c>
      <c r="F51" s="23" t="s">
        <v>201</v>
      </c>
      <c r="G51" s="23" t="s">
        <v>202</v>
      </c>
      <c r="H51" s="23" t="s">
        <v>208</v>
      </c>
      <c r="I51" s="23" t="s">
        <v>66</v>
      </c>
      <c r="J51" s="24">
        <v>42593</v>
      </c>
      <c r="K51" s="21">
        <v>8</v>
      </c>
      <c r="L51" s="25">
        <v>1</v>
      </c>
      <c r="M51" s="22">
        <v>380</v>
      </c>
      <c r="N51" s="26">
        <f t="shared" si="1"/>
        <v>380</v>
      </c>
      <c r="O51" s="7"/>
      <c r="P51" s="27">
        <v>0</v>
      </c>
      <c r="Q51" s="27">
        <v>0.5</v>
      </c>
      <c r="R51" s="27">
        <v>0.5</v>
      </c>
      <c r="S51" s="27">
        <v>0</v>
      </c>
      <c r="T51" s="27">
        <v>0</v>
      </c>
      <c r="U51" s="28">
        <f t="shared" si="2"/>
        <v>1</v>
      </c>
      <c r="V51" s="21"/>
      <c r="W51" s="29">
        <f t="shared" si="3"/>
        <v>0</v>
      </c>
      <c r="X51" s="29">
        <f t="shared" si="3"/>
        <v>190</v>
      </c>
      <c r="Y51" s="29">
        <f t="shared" si="3"/>
        <v>190</v>
      </c>
      <c r="Z51" s="29">
        <f t="shared" si="3"/>
        <v>0</v>
      </c>
      <c r="AA51" s="29">
        <f t="shared" si="3"/>
        <v>0</v>
      </c>
    </row>
    <row r="52" spans="1:27" s="30" customFormat="1" ht="12.75" hidden="1" x14ac:dyDescent="0.2">
      <c r="A52" s="20" t="s">
        <v>94</v>
      </c>
      <c r="B52" s="21">
        <v>38029</v>
      </c>
      <c r="C52" s="21">
        <v>45</v>
      </c>
      <c r="D52" s="22">
        <v>1303.4000000000001</v>
      </c>
      <c r="E52" s="23" t="s">
        <v>209</v>
      </c>
      <c r="F52" s="23" t="s">
        <v>96</v>
      </c>
      <c r="G52" s="23" t="s">
        <v>97</v>
      </c>
      <c r="H52" s="23" t="s">
        <v>210</v>
      </c>
      <c r="I52" s="23" t="s">
        <v>66</v>
      </c>
      <c r="J52" s="24" t="s">
        <v>211</v>
      </c>
      <c r="K52" s="21">
        <v>11</v>
      </c>
      <c r="L52" s="25">
        <v>1</v>
      </c>
      <c r="M52" s="22">
        <v>1303.4000000000001</v>
      </c>
      <c r="N52" s="26">
        <f t="shared" si="1"/>
        <v>1303.4000000000001</v>
      </c>
      <c r="O52" s="7"/>
      <c r="P52" s="27">
        <v>0</v>
      </c>
      <c r="Q52" s="27">
        <v>0</v>
      </c>
      <c r="R52" s="27">
        <v>0.5</v>
      </c>
      <c r="S52" s="27">
        <v>0.5</v>
      </c>
      <c r="T52" s="27">
        <v>0</v>
      </c>
      <c r="U52" s="28">
        <f t="shared" si="2"/>
        <v>1</v>
      </c>
      <c r="V52" s="21"/>
      <c r="W52" s="29">
        <f t="shared" si="3"/>
        <v>0</v>
      </c>
      <c r="X52" s="29">
        <f t="shared" si="3"/>
        <v>0</v>
      </c>
      <c r="Y52" s="29">
        <f t="shared" si="3"/>
        <v>651.70000000000005</v>
      </c>
      <c r="Z52" s="29">
        <f t="shared" si="3"/>
        <v>651.70000000000005</v>
      </c>
      <c r="AA52" s="29">
        <f t="shared" si="3"/>
        <v>0</v>
      </c>
    </row>
    <row r="53" spans="1:27" s="30" customFormat="1" ht="12.75" hidden="1" x14ac:dyDescent="0.2">
      <c r="A53" s="20" t="s">
        <v>94</v>
      </c>
      <c r="B53" s="21">
        <v>84627</v>
      </c>
      <c r="C53" s="21">
        <v>46</v>
      </c>
      <c r="D53" s="22">
        <v>3773</v>
      </c>
      <c r="E53" s="23" t="s">
        <v>212</v>
      </c>
      <c r="F53" s="23" t="s">
        <v>115</v>
      </c>
      <c r="G53" s="23" t="s">
        <v>116</v>
      </c>
      <c r="H53" s="23" t="s">
        <v>213</v>
      </c>
      <c r="I53" s="23" t="s">
        <v>66</v>
      </c>
      <c r="J53" s="24">
        <v>42697</v>
      </c>
      <c r="K53" s="21">
        <v>11</v>
      </c>
      <c r="L53" s="25">
        <v>1</v>
      </c>
      <c r="M53" s="22">
        <v>3773</v>
      </c>
      <c r="N53" s="26">
        <f t="shared" si="1"/>
        <v>3773</v>
      </c>
      <c r="O53" s="7"/>
      <c r="P53" s="27">
        <v>0</v>
      </c>
      <c r="Q53" s="27">
        <v>0.5</v>
      </c>
      <c r="R53" s="27">
        <v>0.5</v>
      </c>
      <c r="S53" s="27">
        <v>0</v>
      </c>
      <c r="T53" s="27">
        <v>0</v>
      </c>
      <c r="U53" s="28">
        <f t="shared" si="2"/>
        <v>1</v>
      </c>
      <c r="V53" s="21"/>
      <c r="W53" s="29">
        <f t="shared" si="3"/>
        <v>0</v>
      </c>
      <c r="X53" s="29">
        <f t="shared" si="3"/>
        <v>1886.5</v>
      </c>
      <c r="Y53" s="29">
        <f t="shared" si="3"/>
        <v>1886.5</v>
      </c>
      <c r="Z53" s="29">
        <f t="shared" si="3"/>
        <v>0</v>
      </c>
      <c r="AA53" s="29">
        <f t="shared" si="3"/>
        <v>0</v>
      </c>
    </row>
    <row r="54" spans="1:27" s="30" customFormat="1" ht="12.75" hidden="1" x14ac:dyDescent="0.2">
      <c r="A54" s="20" t="s">
        <v>94</v>
      </c>
      <c r="B54" s="21">
        <v>70624</v>
      </c>
      <c r="C54" s="21">
        <v>47</v>
      </c>
      <c r="D54" s="22">
        <v>760.85</v>
      </c>
      <c r="E54" s="23" t="s">
        <v>214</v>
      </c>
      <c r="F54" s="23" t="s">
        <v>194</v>
      </c>
      <c r="G54" s="23" t="s">
        <v>195</v>
      </c>
      <c r="H54" s="23" t="s">
        <v>215</v>
      </c>
      <c r="I54" s="23" t="s">
        <v>66</v>
      </c>
      <c r="J54" s="24">
        <v>42480</v>
      </c>
      <c r="K54" s="21">
        <v>4</v>
      </c>
      <c r="L54" s="25">
        <v>1</v>
      </c>
      <c r="M54" s="22">
        <v>760.85</v>
      </c>
      <c r="N54" s="26">
        <f t="shared" si="1"/>
        <v>760.85</v>
      </c>
      <c r="O54" s="7"/>
      <c r="P54" s="27">
        <v>0</v>
      </c>
      <c r="Q54" s="27">
        <v>0</v>
      </c>
      <c r="R54" s="27">
        <v>0.66666666666666674</v>
      </c>
      <c r="S54" s="27">
        <v>0.33333333333333337</v>
      </c>
      <c r="T54" s="27">
        <v>0</v>
      </c>
      <c r="U54" s="28">
        <f t="shared" si="2"/>
        <v>1</v>
      </c>
      <c r="V54" s="21"/>
      <c r="W54" s="29">
        <f t="shared" si="3"/>
        <v>0</v>
      </c>
      <c r="X54" s="29">
        <f t="shared" si="3"/>
        <v>0</v>
      </c>
      <c r="Y54" s="29">
        <f t="shared" si="3"/>
        <v>507.23333333333341</v>
      </c>
      <c r="Z54" s="29">
        <f t="shared" si="3"/>
        <v>253.6166666666667</v>
      </c>
      <c r="AA54" s="29">
        <f t="shared" si="3"/>
        <v>0</v>
      </c>
    </row>
    <row r="55" spans="1:27" s="30" customFormat="1" ht="12.75" hidden="1" x14ac:dyDescent="0.2">
      <c r="A55" s="20" t="s">
        <v>94</v>
      </c>
      <c r="B55" s="21">
        <v>81076</v>
      </c>
      <c r="C55" s="21">
        <v>48</v>
      </c>
      <c r="D55" s="22">
        <v>5127.7</v>
      </c>
      <c r="E55" s="23" t="s">
        <v>216</v>
      </c>
      <c r="F55" s="23" t="s">
        <v>115</v>
      </c>
      <c r="G55" s="23" t="s">
        <v>116</v>
      </c>
      <c r="H55" s="23" t="s">
        <v>217</v>
      </c>
      <c r="I55" s="23" t="s">
        <v>66</v>
      </c>
      <c r="J55" s="24">
        <v>42569</v>
      </c>
      <c r="K55" s="21">
        <v>7</v>
      </c>
      <c r="L55" s="25">
        <v>1</v>
      </c>
      <c r="M55" s="22">
        <v>5127.7</v>
      </c>
      <c r="N55" s="26">
        <f t="shared" si="1"/>
        <v>5127.7</v>
      </c>
      <c r="O55" s="7"/>
      <c r="P55" s="27">
        <v>0</v>
      </c>
      <c r="Q55" s="27">
        <v>0</v>
      </c>
      <c r="R55" s="27">
        <v>1</v>
      </c>
      <c r="S55" s="27">
        <v>0</v>
      </c>
      <c r="T55" s="27">
        <v>0</v>
      </c>
      <c r="U55" s="28">
        <f t="shared" si="2"/>
        <v>1</v>
      </c>
      <c r="V55" s="21"/>
      <c r="W55" s="29">
        <f t="shared" si="3"/>
        <v>0</v>
      </c>
      <c r="X55" s="29">
        <f t="shared" si="3"/>
        <v>0</v>
      </c>
      <c r="Y55" s="29">
        <f t="shared" si="3"/>
        <v>5127.7</v>
      </c>
      <c r="Z55" s="29">
        <f t="shared" si="3"/>
        <v>0</v>
      </c>
      <c r="AA55" s="29">
        <f t="shared" si="3"/>
        <v>0</v>
      </c>
    </row>
    <row r="56" spans="1:27" s="30" customFormat="1" ht="12.75" hidden="1" x14ac:dyDescent="0.2">
      <c r="A56" s="20" t="s">
        <v>94</v>
      </c>
      <c r="B56" s="21">
        <v>80302</v>
      </c>
      <c r="C56" s="21">
        <v>49</v>
      </c>
      <c r="D56" s="22">
        <v>5127.7</v>
      </c>
      <c r="E56" s="23" t="s">
        <v>216</v>
      </c>
      <c r="F56" s="23" t="s">
        <v>115</v>
      </c>
      <c r="G56" s="23" t="s">
        <v>116</v>
      </c>
      <c r="H56" s="23" t="s">
        <v>217</v>
      </c>
      <c r="I56" s="23" t="s">
        <v>66</v>
      </c>
      <c r="J56" s="24">
        <v>42541</v>
      </c>
      <c r="K56" s="21">
        <v>6</v>
      </c>
      <c r="L56" s="25">
        <v>1</v>
      </c>
      <c r="M56" s="22">
        <v>5127.7</v>
      </c>
      <c r="N56" s="26">
        <f t="shared" si="1"/>
        <v>5127.7</v>
      </c>
      <c r="O56" s="7"/>
      <c r="P56" s="27">
        <v>0</v>
      </c>
      <c r="Q56" s="27">
        <v>0</v>
      </c>
      <c r="R56" s="27">
        <v>1</v>
      </c>
      <c r="S56" s="27">
        <v>0</v>
      </c>
      <c r="T56" s="27">
        <v>0</v>
      </c>
      <c r="U56" s="28">
        <f t="shared" si="2"/>
        <v>1</v>
      </c>
      <c r="V56" s="21"/>
      <c r="W56" s="29">
        <f t="shared" si="3"/>
        <v>0</v>
      </c>
      <c r="X56" s="29">
        <f t="shared" si="3"/>
        <v>0</v>
      </c>
      <c r="Y56" s="29">
        <f t="shared" si="3"/>
        <v>5127.7</v>
      </c>
      <c r="Z56" s="29">
        <f t="shared" si="3"/>
        <v>0</v>
      </c>
      <c r="AA56" s="29">
        <f t="shared" si="3"/>
        <v>0</v>
      </c>
    </row>
    <row r="57" spans="1:27" s="30" customFormat="1" ht="12.75" x14ac:dyDescent="0.2">
      <c r="A57" s="20" t="s">
        <v>142</v>
      </c>
      <c r="B57" s="151">
        <v>411869</v>
      </c>
      <c r="C57" s="21">
        <v>50</v>
      </c>
      <c r="D57" s="22">
        <v>4198.47</v>
      </c>
      <c r="E57" s="151" t="s">
        <v>218</v>
      </c>
      <c r="F57" s="23" t="s">
        <v>143</v>
      </c>
      <c r="G57" s="151"/>
      <c r="H57" s="151" t="s">
        <v>219</v>
      </c>
      <c r="I57" s="123" t="s">
        <v>65</v>
      </c>
      <c r="J57" s="148">
        <v>42598</v>
      </c>
      <c r="K57" s="21">
        <v>8</v>
      </c>
      <c r="L57" s="25">
        <v>1</v>
      </c>
      <c r="M57" s="22">
        <v>4198.47</v>
      </c>
      <c r="N57" s="155">
        <f t="shared" si="1"/>
        <v>4198.47</v>
      </c>
      <c r="O57" s="7"/>
      <c r="P57" s="27">
        <v>0.33333333333333337</v>
      </c>
      <c r="Q57" s="27">
        <v>0</v>
      </c>
      <c r="R57" s="27">
        <v>0.66666666666666674</v>
      </c>
      <c r="S57" s="27">
        <v>0</v>
      </c>
      <c r="T57" s="27">
        <v>0</v>
      </c>
      <c r="U57" s="28">
        <f t="shared" si="2"/>
        <v>1</v>
      </c>
      <c r="V57" s="21"/>
      <c r="W57" s="29">
        <f t="shared" si="3"/>
        <v>1399.4900000000002</v>
      </c>
      <c r="X57" s="29">
        <f t="shared" si="3"/>
        <v>0</v>
      </c>
      <c r="Y57" s="29">
        <f t="shared" si="3"/>
        <v>2798.9800000000005</v>
      </c>
      <c r="Z57" s="29">
        <f t="shared" si="3"/>
        <v>0</v>
      </c>
      <c r="AA57" s="29">
        <f t="shared" si="3"/>
        <v>0</v>
      </c>
    </row>
    <row r="58" spans="1:27" s="30" customFormat="1" ht="12.75" hidden="1" x14ac:dyDescent="0.2">
      <c r="A58" s="20" t="s">
        <v>94</v>
      </c>
      <c r="B58" s="21">
        <v>10844</v>
      </c>
      <c r="C58" s="21">
        <v>51</v>
      </c>
      <c r="D58" s="22">
        <v>436.5</v>
      </c>
      <c r="E58" s="23" t="s">
        <v>220</v>
      </c>
      <c r="F58" s="23" t="s">
        <v>112</v>
      </c>
      <c r="G58" s="23" t="s">
        <v>113</v>
      </c>
      <c r="H58" s="23" t="s">
        <v>221</v>
      </c>
      <c r="I58" s="23" t="s">
        <v>66</v>
      </c>
      <c r="J58" s="24">
        <v>42621</v>
      </c>
      <c r="K58" s="21">
        <v>9</v>
      </c>
      <c r="L58" s="25">
        <v>1</v>
      </c>
      <c r="M58" s="22">
        <v>436.5</v>
      </c>
      <c r="N58" s="26">
        <f t="shared" si="1"/>
        <v>436.5</v>
      </c>
      <c r="O58" s="7"/>
      <c r="P58" s="27">
        <v>0</v>
      </c>
      <c r="Q58" s="27">
        <v>0</v>
      </c>
      <c r="R58" s="27">
        <v>1</v>
      </c>
      <c r="S58" s="27">
        <v>0</v>
      </c>
      <c r="T58" s="27">
        <v>0</v>
      </c>
      <c r="U58" s="28">
        <f t="shared" si="2"/>
        <v>1</v>
      </c>
      <c r="V58" s="21"/>
      <c r="W58" s="29">
        <f t="shared" si="3"/>
        <v>0</v>
      </c>
      <c r="X58" s="29">
        <f t="shared" si="3"/>
        <v>0</v>
      </c>
      <c r="Y58" s="29">
        <f t="shared" si="3"/>
        <v>436.5</v>
      </c>
      <c r="Z58" s="29">
        <f t="shared" si="3"/>
        <v>0</v>
      </c>
      <c r="AA58" s="29">
        <f t="shared" si="3"/>
        <v>0</v>
      </c>
    </row>
    <row r="59" spans="1:27" s="30" customFormat="1" ht="12.75" hidden="1" x14ac:dyDescent="0.2">
      <c r="A59" s="20" t="s">
        <v>94</v>
      </c>
      <c r="B59" s="21">
        <v>83455</v>
      </c>
      <c r="C59" s="21">
        <v>52</v>
      </c>
      <c r="D59" s="22">
        <v>524</v>
      </c>
      <c r="E59" s="23" t="s">
        <v>222</v>
      </c>
      <c r="F59" s="23" t="s">
        <v>115</v>
      </c>
      <c r="G59" s="23" t="s">
        <v>116</v>
      </c>
      <c r="H59" s="23" t="s">
        <v>223</v>
      </c>
      <c r="I59" s="23" t="s">
        <v>66</v>
      </c>
      <c r="J59" s="24">
        <v>42653</v>
      </c>
      <c r="K59" s="21">
        <v>10</v>
      </c>
      <c r="L59" s="25">
        <v>1</v>
      </c>
      <c r="M59" s="22">
        <v>524</v>
      </c>
      <c r="N59" s="26">
        <f t="shared" si="1"/>
        <v>524</v>
      </c>
      <c r="O59" s="7"/>
      <c r="P59" s="27">
        <v>0</v>
      </c>
      <c r="Q59" s="27">
        <v>0</v>
      </c>
      <c r="R59" s="27">
        <v>1</v>
      </c>
      <c r="S59" s="27">
        <v>0</v>
      </c>
      <c r="T59" s="27">
        <v>0</v>
      </c>
      <c r="U59" s="28">
        <f t="shared" si="2"/>
        <v>1</v>
      </c>
      <c r="V59" s="21"/>
      <c r="W59" s="29">
        <f t="shared" si="3"/>
        <v>0</v>
      </c>
      <c r="X59" s="29">
        <f t="shared" si="3"/>
        <v>0</v>
      </c>
      <c r="Y59" s="29">
        <f t="shared" si="3"/>
        <v>524</v>
      </c>
      <c r="Z59" s="29">
        <f t="shared" si="3"/>
        <v>0</v>
      </c>
      <c r="AA59" s="29">
        <f t="shared" si="3"/>
        <v>0</v>
      </c>
    </row>
    <row r="60" spans="1:27" s="30" customFormat="1" ht="12.75" hidden="1" x14ac:dyDescent="0.2">
      <c r="A60" s="20" t="s">
        <v>94</v>
      </c>
      <c r="B60" s="21">
        <v>12036</v>
      </c>
      <c r="C60" s="21">
        <v>53</v>
      </c>
      <c r="D60" s="22">
        <v>1217.75</v>
      </c>
      <c r="E60" s="23" t="s">
        <v>224</v>
      </c>
      <c r="F60" s="23" t="s">
        <v>112</v>
      </c>
      <c r="G60" s="23" t="s">
        <v>113</v>
      </c>
      <c r="H60" s="23" t="s">
        <v>225</v>
      </c>
      <c r="I60" s="23" t="s">
        <v>66</v>
      </c>
      <c r="J60" s="24">
        <v>42657</v>
      </c>
      <c r="K60" s="21">
        <v>10</v>
      </c>
      <c r="L60" s="25">
        <v>1</v>
      </c>
      <c r="M60" s="22">
        <v>1217.75</v>
      </c>
      <c r="N60" s="26">
        <f t="shared" si="1"/>
        <v>1217.75</v>
      </c>
      <c r="O60" s="7"/>
      <c r="P60" s="27">
        <v>0</v>
      </c>
      <c r="Q60" s="27">
        <v>0</v>
      </c>
      <c r="R60" s="27">
        <v>1</v>
      </c>
      <c r="S60" s="27">
        <v>0</v>
      </c>
      <c r="T60" s="27">
        <v>0</v>
      </c>
      <c r="U60" s="28">
        <f t="shared" si="2"/>
        <v>1</v>
      </c>
      <c r="V60" s="21"/>
      <c r="W60" s="29">
        <f t="shared" si="3"/>
        <v>0</v>
      </c>
      <c r="X60" s="29">
        <f t="shared" si="3"/>
        <v>0</v>
      </c>
      <c r="Y60" s="29">
        <f t="shared" si="3"/>
        <v>1217.75</v>
      </c>
      <c r="Z60" s="29">
        <f t="shared" si="3"/>
        <v>0</v>
      </c>
      <c r="AA60" s="29">
        <f t="shared" si="3"/>
        <v>0</v>
      </c>
    </row>
    <row r="61" spans="1:27" s="30" customFormat="1" ht="12.75" hidden="1" x14ac:dyDescent="0.2">
      <c r="A61" s="20" t="s">
        <v>94</v>
      </c>
      <c r="B61" s="21">
        <v>12603</v>
      </c>
      <c r="C61" s="21">
        <v>54</v>
      </c>
      <c r="D61" s="22">
        <v>1359.25</v>
      </c>
      <c r="E61" s="23" t="s">
        <v>226</v>
      </c>
      <c r="F61" s="23" t="s">
        <v>112</v>
      </c>
      <c r="G61" s="23" t="s">
        <v>113</v>
      </c>
      <c r="H61" s="23" t="s">
        <v>227</v>
      </c>
      <c r="I61" s="23" t="s">
        <v>66</v>
      </c>
      <c r="J61" s="24">
        <v>42664</v>
      </c>
      <c r="K61" s="21">
        <v>10</v>
      </c>
      <c r="L61" s="25">
        <v>1</v>
      </c>
      <c r="M61" s="22">
        <v>1359.25</v>
      </c>
      <c r="N61" s="26">
        <f t="shared" si="1"/>
        <v>1359.25</v>
      </c>
      <c r="O61" s="7"/>
      <c r="P61" s="27">
        <v>0</v>
      </c>
      <c r="Q61" s="27">
        <v>0</v>
      </c>
      <c r="R61" s="27">
        <v>1</v>
      </c>
      <c r="S61" s="27">
        <v>0</v>
      </c>
      <c r="T61" s="27">
        <v>0</v>
      </c>
      <c r="U61" s="28">
        <f t="shared" si="2"/>
        <v>1</v>
      </c>
      <c r="V61" s="21"/>
      <c r="W61" s="29">
        <f t="shared" si="3"/>
        <v>0</v>
      </c>
      <c r="X61" s="29">
        <f t="shared" si="3"/>
        <v>0</v>
      </c>
      <c r="Y61" s="29">
        <f t="shared" si="3"/>
        <v>1359.25</v>
      </c>
      <c r="Z61" s="29">
        <f t="shared" si="3"/>
        <v>0</v>
      </c>
      <c r="AA61" s="29">
        <f t="shared" si="3"/>
        <v>0</v>
      </c>
    </row>
    <row r="62" spans="1:27" s="30" customFormat="1" ht="12.75" hidden="1" x14ac:dyDescent="0.2">
      <c r="A62" s="20" t="s">
        <v>166</v>
      </c>
      <c r="B62" s="21"/>
      <c r="C62" s="21">
        <v>55</v>
      </c>
      <c r="D62" s="22">
        <v>2220</v>
      </c>
      <c r="E62" s="23" t="s">
        <v>93</v>
      </c>
      <c r="F62" s="23" t="s">
        <v>228</v>
      </c>
      <c r="G62" s="23" t="s">
        <v>229</v>
      </c>
      <c r="H62" s="23" t="s">
        <v>230</v>
      </c>
      <c r="I62" s="23" t="s">
        <v>66</v>
      </c>
      <c r="J62" s="24">
        <v>42552</v>
      </c>
      <c r="K62" s="21">
        <v>7</v>
      </c>
      <c r="L62" s="25">
        <v>1</v>
      </c>
      <c r="M62" s="22">
        <v>2220</v>
      </c>
      <c r="N62" s="26">
        <f t="shared" si="1"/>
        <v>2220</v>
      </c>
      <c r="O62" s="7"/>
      <c r="P62" s="27">
        <v>0</v>
      </c>
      <c r="Q62" s="27">
        <v>0</v>
      </c>
      <c r="R62" s="27">
        <v>0</v>
      </c>
      <c r="S62" s="27">
        <v>0</v>
      </c>
      <c r="T62" s="27">
        <v>1</v>
      </c>
      <c r="U62" s="28">
        <f t="shared" si="2"/>
        <v>1</v>
      </c>
      <c r="V62" s="21"/>
      <c r="W62" s="29">
        <f t="shared" si="3"/>
        <v>0</v>
      </c>
      <c r="X62" s="29">
        <f t="shared" si="3"/>
        <v>0</v>
      </c>
      <c r="Y62" s="29">
        <f t="shared" si="3"/>
        <v>0</v>
      </c>
      <c r="Z62" s="29">
        <f t="shared" si="3"/>
        <v>0</v>
      </c>
      <c r="AA62" s="29">
        <f t="shared" si="3"/>
        <v>2220</v>
      </c>
    </row>
    <row r="63" spans="1:27" s="30" customFormat="1" ht="12.75" hidden="1" x14ac:dyDescent="0.2">
      <c r="A63" s="20" t="s">
        <v>166</v>
      </c>
      <c r="B63" s="21"/>
      <c r="C63" s="21">
        <v>56</v>
      </c>
      <c r="D63" s="22">
        <v>2220</v>
      </c>
      <c r="E63" s="23" t="s">
        <v>93</v>
      </c>
      <c r="F63" s="23" t="s">
        <v>228</v>
      </c>
      <c r="G63" s="23" t="s">
        <v>229</v>
      </c>
      <c r="H63" s="23" t="s">
        <v>231</v>
      </c>
      <c r="I63" s="23" t="s">
        <v>66</v>
      </c>
      <c r="J63" s="24">
        <v>42583</v>
      </c>
      <c r="K63" s="21">
        <v>8</v>
      </c>
      <c r="L63" s="25">
        <v>1</v>
      </c>
      <c r="M63" s="22">
        <v>2220</v>
      </c>
      <c r="N63" s="26">
        <f t="shared" si="1"/>
        <v>2220</v>
      </c>
      <c r="O63" s="7"/>
      <c r="P63" s="27">
        <v>0</v>
      </c>
      <c r="Q63" s="27">
        <v>0</v>
      </c>
      <c r="R63" s="27">
        <v>0</v>
      </c>
      <c r="S63" s="27">
        <v>0</v>
      </c>
      <c r="T63" s="27">
        <v>1</v>
      </c>
      <c r="U63" s="28">
        <f t="shared" si="2"/>
        <v>1</v>
      </c>
      <c r="V63" s="21"/>
      <c r="W63" s="29">
        <f t="shared" si="3"/>
        <v>0</v>
      </c>
      <c r="X63" s="29">
        <f t="shared" si="3"/>
        <v>0</v>
      </c>
      <c r="Y63" s="29">
        <f t="shared" si="3"/>
        <v>0</v>
      </c>
      <c r="Z63" s="29">
        <f t="shared" si="3"/>
        <v>0</v>
      </c>
      <c r="AA63" s="29">
        <f t="shared" si="3"/>
        <v>2220</v>
      </c>
    </row>
    <row r="64" spans="1:27" s="30" customFormat="1" ht="12.75" hidden="1" x14ac:dyDescent="0.2">
      <c r="A64" s="20" t="s">
        <v>166</v>
      </c>
      <c r="B64" s="21"/>
      <c r="C64" s="21">
        <v>57</v>
      </c>
      <c r="D64" s="22">
        <v>2220</v>
      </c>
      <c r="E64" s="23" t="s">
        <v>93</v>
      </c>
      <c r="F64" s="23" t="s">
        <v>228</v>
      </c>
      <c r="G64" s="23" t="s">
        <v>229</v>
      </c>
      <c r="H64" s="23" t="s">
        <v>232</v>
      </c>
      <c r="I64" s="23" t="s">
        <v>66</v>
      </c>
      <c r="J64" s="24">
        <v>42618</v>
      </c>
      <c r="K64" s="21">
        <v>9</v>
      </c>
      <c r="L64" s="25">
        <v>1</v>
      </c>
      <c r="M64" s="22">
        <v>2220</v>
      </c>
      <c r="N64" s="26">
        <f t="shared" si="1"/>
        <v>2220</v>
      </c>
      <c r="O64" s="7"/>
      <c r="P64" s="27">
        <v>0</v>
      </c>
      <c r="Q64" s="27">
        <v>0</v>
      </c>
      <c r="R64" s="27">
        <v>0</v>
      </c>
      <c r="S64" s="27">
        <v>0</v>
      </c>
      <c r="T64" s="27">
        <v>1</v>
      </c>
      <c r="U64" s="28">
        <f t="shared" si="2"/>
        <v>1</v>
      </c>
      <c r="V64" s="21"/>
      <c r="W64" s="29">
        <f t="shared" si="3"/>
        <v>0</v>
      </c>
      <c r="X64" s="29">
        <f t="shared" si="3"/>
        <v>0</v>
      </c>
      <c r="Y64" s="29">
        <f t="shared" si="3"/>
        <v>0</v>
      </c>
      <c r="Z64" s="29">
        <f t="shared" si="3"/>
        <v>0</v>
      </c>
      <c r="AA64" s="29">
        <f t="shared" si="3"/>
        <v>2220</v>
      </c>
    </row>
    <row r="65" spans="1:27" s="30" customFormat="1" ht="12.75" hidden="1" x14ac:dyDescent="0.2">
      <c r="A65" s="20" t="s">
        <v>166</v>
      </c>
      <c r="B65" s="21"/>
      <c r="C65" s="21">
        <v>58</v>
      </c>
      <c r="D65" s="22">
        <v>2220</v>
      </c>
      <c r="E65" s="23" t="s">
        <v>93</v>
      </c>
      <c r="F65" s="23" t="s">
        <v>228</v>
      </c>
      <c r="G65" s="23" t="s">
        <v>229</v>
      </c>
      <c r="H65" s="23" t="s">
        <v>233</v>
      </c>
      <c r="I65" s="23" t="s">
        <v>66</v>
      </c>
      <c r="J65" s="24">
        <v>42646</v>
      </c>
      <c r="K65" s="21">
        <v>10</v>
      </c>
      <c r="L65" s="25">
        <v>1</v>
      </c>
      <c r="M65" s="22">
        <v>2220</v>
      </c>
      <c r="N65" s="26">
        <f t="shared" si="1"/>
        <v>2220</v>
      </c>
      <c r="O65" s="7"/>
      <c r="P65" s="27">
        <v>0</v>
      </c>
      <c r="Q65" s="27">
        <v>0</v>
      </c>
      <c r="R65" s="27">
        <v>0</v>
      </c>
      <c r="S65" s="27">
        <v>0</v>
      </c>
      <c r="T65" s="27">
        <v>1</v>
      </c>
      <c r="U65" s="28">
        <f t="shared" si="2"/>
        <v>1</v>
      </c>
      <c r="V65" s="21"/>
      <c r="W65" s="29">
        <f t="shared" si="3"/>
        <v>0</v>
      </c>
      <c r="X65" s="29">
        <f t="shared" si="3"/>
        <v>0</v>
      </c>
      <c r="Y65" s="29">
        <f t="shared" si="3"/>
        <v>0</v>
      </c>
      <c r="Z65" s="29">
        <f t="shared" si="3"/>
        <v>0</v>
      </c>
      <c r="AA65" s="29">
        <f t="shared" si="3"/>
        <v>2220</v>
      </c>
    </row>
    <row r="66" spans="1:27" s="30" customFormat="1" ht="12.75" hidden="1" x14ac:dyDescent="0.2">
      <c r="A66" s="20" t="s">
        <v>166</v>
      </c>
      <c r="B66" s="21"/>
      <c r="C66" s="21">
        <v>59</v>
      </c>
      <c r="D66" s="22">
        <v>2220</v>
      </c>
      <c r="E66" s="23" t="s">
        <v>93</v>
      </c>
      <c r="F66" s="23" t="s">
        <v>228</v>
      </c>
      <c r="G66" s="23" t="s">
        <v>229</v>
      </c>
      <c r="H66" s="23" t="s">
        <v>234</v>
      </c>
      <c r="I66" s="23" t="s">
        <v>66</v>
      </c>
      <c r="J66" s="24">
        <v>42675</v>
      </c>
      <c r="K66" s="21">
        <v>11</v>
      </c>
      <c r="L66" s="25">
        <v>1</v>
      </c>
      <c r="M66" s="22">
        <v>2220</v>
      </c>
      <c r="N66" s="26">
        <f t="shared" si="1"/>
        <v>2220</v>
      </c>
      <c r="O66" s="7"/>
      <c r="P66" s="27">
        <v>0</v>
      </c>
      <c r="Q66" s="27">
        <v>0</v>
      </c>
      <c r="R66" s="27">
        <v>0</v>
      </c>
      <c r="S66" s="27">
        <v>0</v>
      </c>
      <c r="T66" s="27">
        <v>1</v>
      </c>
      <c r="U66" s="28">
        <f t="shared" si="2"/>
        <v>1</v>
      </c>
      <c r="V66" s="21"/>
      <c r="W66" s="29">
        <f t="shared" si="3"/>
        <v>0</v>
      </c>
      <c r="X66" s="29">
        <f t="shared" si="3"/>
        <v>0</v>
      </c>
      <c r="Y66" s="29">
        <f t="shared" si="3"/>
        <v>0</v>
      </c>
      <c r="Z66" s="29">
        <f t="shared" si="3"/>
        <v>0</v>
      </c>
      <c r="AA66" s="29">
        <f t="shared" si="3"/>
        <v>2220</v>
      </c>
    </row>
    <row r="67" spans="1:27" s="30" customFormat="1" ht="12.75" hidden="1" x14ac:dyDescent="0.2">
      <c r="A67" s="20" t="s">
        <v>166</v>
      </c>
      <c r="B67" s="21"/>
      <c r="C67" s="21">
        <v>60</v>
      </c>
      <c r="D67" s="22">
        <v>2220</v>
      </c>
      <c r="E67" s="23" t="s">
        <v>93</v>
      </c>
      <c r="F67" s="23" t="s">
        <v>228</v>
      </c>
      <c r="G67" s="23" t="s">
        <v>229</v>
      </c>
      <c r="H67" s="23" t="s">
        <v>235</v>
      </c>
      <c r="I67" s="23" t="s">
        <v>66</v>
      </c>
      <c r="J67" s="24">
        <v>42705</v>
      </c>
      <c r="K67" s="21">
        <v>12</v>
      </c>
      <c r="L67" s="25">
        <v>1</v>
      </c>
      <c r="M67" s="22">
        <v>2220</v>
      </c>
      <c r="N67" s="26">
        <f t="shared" si="1"/>
        <v>2220</v>
      </c>
      <c r="O67" s="7"/>
      <c r="P67" s="27">
        <v>0</v>
      </c>
      <c r="Q67" s="27">
        <v>0</v>
      </c>
      <c r="R67" s="27">
        <v>0</v>
      </c>
      <c r="S67" s="27">
        <v>0</v>
      </c>
      <c r="T67" s="27">
        <v>1</v>
      </c>
      <c r="U67" s="28">
        <f t="shared" si="2"/>
        <v>1</v>
      </c>
      <c r="V67" s="21"/>
      <c r="W67" s="29">
        <f t="shared" si="3"/>
        <v>0</v>
      </c>
      <c r="X67" s="29">
        <f t="shared" si="3"/>
        <v>0</v>
      </c>
      <c r="Y67" s="29">
        <f t="shared" si="3"/>
        <v>0</v>
      </c>
      <c r="Z67" s="29">
        <f t="shared" si="3"/>
        <v>0</v>
      </c>
      <c r="AA67" s="29">
        <f t="shared" si="3"/>
        <v>2220</v>
      </c>
    </row>
    <row r="68" spans="1:27" s="30" customFormat="1" ht="12.75" hidden="1" x14ac:dyDescent="0.2">
      <c r="A68" s="20" t="s">
        <v>166</v>
      </c>
      <c r="B68" s="21"/>
      <c r="C68" s="21">
        <v>61</v>
      </c>
      <c r="D68" s="22">
        <v>40</v>
      </c>
      <c r="E68" s="23" t="s">
        <v>93</v>
      </c>
      <c r="F68" s="23" t="s">
        <v>228</v>
      </c>
      <c r="G68" s="23" t="s">
        <v>229</v>
      </c>
      <c r="H68" s="23" t="s">
        <v>236</v>
      </c>
      <c r="I68" s="23" t="s">
        <v>66</v>
      </c>
      <c r="J68" s="24">
        <v>42627</v>
      </c>
      <c r="K68" s="21">
        <v>9</v>
      </c>
      <c r="L68" s="25">
        <v>1</v>
      </c>
      <c r="M68" s="22">
        <v>40</v>
      </c>
      <c r="N68" s="26">
        <f t="shared" si="1"/>
        <v>40</v>
      </c>
      <c r="O68" s="7"/>
      <c r="P68" s="27">
        <v>0</v>
      </c>
      <c r="Q68" s="27">
        <v>0</v>
      </c>
      <c r="R68" s="27">
        <v>0</v>
      </c>
      <c r="S68" s="27">
        <v>0</v>
      </c>
      <c r="T68" s="27">
        <v>1</v>
      </c>
      <c r="U68" s="28">
        <f t="shared" si="2"/>
        <v>1</v>
      </c>
      <c r="V68" s="21"/>
      <c r="W68" s="29">
        <f t="shared" si="3"/>
        <v>0</v>
      </c>
      <c r="X68" s="29">
        <f t="shared" si="3"/>
        <v>0</v>
      </c>
      <c r="Y68" s="29">
        <f t="shared" si="3"/>
        <v>0</v>
      </c>
      <c r="Z68" s="29">
        <f t="shared" si="3"/>
        <v>0</v>
      </c>
      <c r="AA68" s="29">
        <f t="shared" si="3"/>
        <v>40</v>
      </c>
    </row>
    <row r="69" spans="1:27" s="30" customFormat="1" ht="12.75" hidden="1" x14ac:dyDescent="0.2">
      <c r="A69" s="20" t="s">
        <v>166</v>
      </c>
      <c r="B69" s="21"/>
      <c r="C69" s="21">
        <v>62</v>
      </c>
      <c r="D69" s="22">
        <v>50</v>
      </c>
      <c r="E69" s="23" t="s">
        <v>93</v>
      </c>
      <c r="F69" s="23" t="s">
        <v>228</v>
      </c>
      <c r="G69" s="23" t="s">
        <v>229</v>
      </c>
      <c r="H69" s="23" t="s">
        <v>237</v>
      </c>
      <c r="I69" s="23" t="s">
        <v>66</v>
      </c>
      <c r="J69" s="24">
        <v>42622</v>
      </c>
      <c r="K69" s="21">
        <v>9</v>
      </c>
      <c r="L69" s="25">
        <v>1</v>
      </c>
      <c r="M69" s="22">
        <v>50</v>
      </c>
      <c r="N69" s="26">
        <f t="shared" si="1"/>
        <v>50</v>
      </c>
      <c r="O69" s="7"/>
      <c r="P69" s="27">
        <v>0</v>
      </c>
      <c r="Q69" s="27">
        <v>0</v>
      </c>
      <c r="R69" s="27">
        <v>0</v>
      </c>
      <c r="S69" s="27">
        <v>0</v>
      </c>
      <c r="T69" s="27">
        <v>1</v>
      </c>
      <c r="U69" s="28">
        <f t="shared" si="2"/>
        <v>1</v>
      </c>
      <c r="V69" s="21"/>
      <c r="W69" s="29">
        <f t="shared" si="3"/>
        <v>0</v>
      </c>
      <c r="X69" s="29">
        <f t="shared" si="3"/>
        <v>0</v>
      </c>
      <c r="Y69" s="29">
        <f t="shared" si="3"/>
        <v>0</v>
      </c>
      <c r="Z69" s="29">
        <f t="shared" si="3"/>
        <v>0</v>
      </c>
      <c r="AA69" s="29">
        <f t="shared" si="3"/>
        <v>50</v>
      </c>
    </row>
    <row r="70" spans="1:27" s="30" customFormat="1" ht="12.75" x14ac:dyDescent="0.2">
      <c r="A70" s="20" t="s">
        <v>99</v>
      </c>
      <c r="B70" s="151" t="s">
        <v>238</v>
      </c>
      <c r="C70" s="21">
        <v>63</v>
      </c>
      <c r="D70" s="22">
        <v>350</v>
      </c>
      <c r="E70" s="151" t="s">
        <v>93</v>
      </c>
      <c r="F70" s="23" t="s">
        <v>239</v>
      </c>
      <c r="G70" s="151"/>
      <c r="H70" s="151" t="s">
        <v>240</v>
      </c>
      <c r="I70" s="23" t="s">
        <v>65</v>
      </c>
      <c r="J70" s="148">
        <v>42626</v>
      </c>
      <c r="K70" s="21">
        <v>9</v>
      </c>
      <c r="L70" s="25">
        <v>1</v>
      </c>
      <c r="M70" s="22">
        <v>350</v>
      </c>
      <c r="N70" s="155">
        <f t="shared" si="1"/>
        <v>350</v>
      </c>
      <c r="O70" s="7"/>
      <c r="P70" s="27">
        <v>0</v>
      </c>
      <c r="Q70" s="27">
        <v>0</v>
      </c>
      <c r="R70" s="27">
        <v>0</v>
      </c>
      <c r="S70" s="27">
        <v>0</v>
      </c>
      <c r="T70" s="27">
        <v>1</v>
      </c>
      <c r="U70" s="28">
        <f t="shared" si="2"/>
        <v>1</v>
      </c>
      <c r="V70" s="21"/>
      <c r="W70" s="29">
        <f t="shared" si="3"/>
        <v>0</v>
      </c>
      <c r="X70" s="29">
        <f t="shared" si="3"/>
        <v>0</v>
      </c>
      <c r="Y70" s="29">
        <f t="shared" si="3"/>
        <v>0</v>
      </c>
      <c r="Z70" s="29">
        <f t="shared" si="3"/>
        <v>0</v>
      </c>
      <c r="AA70" s="29">
        <f t="shared" si="3"/>
        <v>350</v>
      </c>
    </row>
    <row r="71" spans="1:27" s="30" customFormat="1" ht="12.75" hidden="1" x14ac:dyDescent="0.2">
      <c r="A71" s="20" t="s">
        <v>166</v>
      </c>
      <c r="B71" s="21"/>
      <c r="C71" s="21">
        <v>64</v>
      </c>
      <c r="D71" s="22">
        <v>250</v>
      </c>
      <c r="E71" s="23" t="s">
        <v>93</v>
      </c>
      <c r="F71" s="23" t="s">
        <v>228</v>
      </c>
      <c r="G71" s="23" t="s">
        <v>229</v>
      </c>
      <c r="H71" s="23" t="s">
        <v>241</v>
      </c>
      <c r="I71" s="23" t="s">
        <v>66</v>
      </c>
      <c r="J71" s="24">
        <v>42671</v>
      </c>
      <c r="K71" s="21">
        <v>10</v>
      </c>
      <c r="L71" s="25">
        <v>1</v>
      </c>
      <c r="M71" s="22">
        <v>250</v>
      </c>
      <c r="N71" s="26">
        <f t="shared" si="1"/>
        <v>250</v>
      </c>
      <c r="O71" s="7"/>
      <c r="P71" s="27">
        <v>0</v>
      </c>
      <c r="Q71" s="27">
        <v>0</v>
      </c>
      <c r="R71" s="27">
        <v>0</v>
      </c>
      <c r="S71" s="27">
        <v>0</v>
      </c>
      <c r="T71" s="27">
        <v>1</v>
      </c>
      <c r="U71" s="28">
        <f t="shared" si="2"/>
        <v>1</v>
      </c>
      <c r="V71" s="21"/>
      <c r="W71" s="29">
        <f t="shared" si="3"/>
        <v>0</v>
      </c>
      <c r="X71" s="29">
        <f t="shared" si="3"/>
        <v>0</v>
      </c>
      <c r="Y71" s="29">
        <f t="shared" si="3"/>
        <v>0</v>
      </c>
      <c r="Z71" s="29">
        <f t="shared" si="3"/>
        <v>0</v>
      </c>
      <c r="AA71" s="29">
        <f t="shared" si="3"/>
        <v>250</v>
      </c>
    </row>
    <row r="72" spans="1:27" s="30" customFormat="1" ht="12.75" x14ac:dyDescent="0.2">
      <c r="A72" s="20" t="s">
        <v>242</v>
      </c>
      <c r="B72" s="153">
        <v>1167152312</v>
      </c>
      <c r="C72" s="21">
        <v>65</v>
      </c>
      <c r="D72" s="22">
        <v>290</v>
      </c>
      <c r="E72" s="151" t="s">
        <v>93</v>
      </c>
      <c r="F72" s="23" t="s">
        <v>243</v>
      </c>
      <c r="G72" s="151"/>
      <c r="H72" s="151" t="s">
        <v>244</v>
      </c>
      <c r="I72" s="23" t="s">
        <v>65</v>
      </c>
      <c r="J72" s="148">
        <v>42681</v>
      </c>
      <c r="K72" s="21">
        <v>11</v>
      </c>
      <c r="L72" s="25">
        <v>1</v>
      </c>
      <c r="M72" s="22">
        <v>290</v>
      </c>
      <c r="N72" s="155">
        <f t="shared" si="1"/>
        <v>290</v>
      </c>
      <c r="O72" s="7"/>
      <c r="P72" s="27">
        <v>0</v>
      </c>
      <c r="Q72" s="27">
        <v>0</v>
      </c>
      <c r="R72" s="27">
        <v>0</v>
      </c>
      <c r="S72" s="27">
        <v>0</v>
      </c>
      <c r="T72" s="27">
        <v>1</v>
      </c>
      <c r="U72" s="28">
        <f t="shared" si="2"/>
        <v>1</v>
      </c>
      <c r="V72" s="21"/>
      <c r="W72" s="29">
        <f t="shared" ref="W72:AA84" si="4">$N72*P72</f>
        <v>0</v>
      </c>
      <c r="X72" s="29">
        <f t="shared" si="4"/>
        <v>0</v>
      </c>
      <c r="Y72" s="29">
        <f t="shared" si="4"/>
        <v>0</v>
      </c>
      <c r="Z72" s="29">
        <f t="shared" si="4"/>
        <v>0</v>
      </c>
      <c r="AA72" s="29">
        <f t="shared" si="4"/>
        <v>290</v>
      </c>
    </row>
    <row r="73" spans="1:27" s="30" customFormat="1" ht="12.75" x14ac:dyDescent="0.2">
      <c r="A73" s="20" t="s">
        <v>99</v>
      </c>
      <c r="B73" s="151" t="s">
        <v>245</v>
      </c>
      <c r="C73" s="21">
        <v>66</v>
      </c>
      <c r="D73" s="22">
        <v>396.12</v>
      </c>
      <c r="E73" s="151" t="s">
        <v>93</v>
      </c>
      <c r="F73" s="23" t="s">
        <v>246</v>
      </c>
      <c r="G73" s="151"/>
      <c r="H73" s="151" t="s">
        <v>247</v>
      </c>
      <c r="I73" s="23" t="s">
        <v>65</v>
      </c>
      <c r="J73" s="148">
        <v>42681</v>
      </c>
      <c r="K73" s="21">
        <v>11</v>
      </c>
      <c r="L73" s="25">
        <v>1</v>
      </c>
      <c r="M73" s="22">
        <v>396.12</v>
      </c>
      <c r="N73" s="155">
        <f t="shared" ref="N73:N114" si="5">M73*L73</f>
        <v>396.12</v>
      </c>
      <c r="O73" s="7"/>
      <c r="P73" s="27">
        <v>0</v>
      </c>
      <c r="Q73" s="27">
        <v>0</v>
      </c>
      <c r="R73" s="27">
        <v>0</v>
      </c>
      <c r="S73" s="27">
        <v>0</v>
      </c>
      <c r="T73" s="27">
        <v>1</v>
      </c>
      <c r="U73" s="28">
        <f t="shared" ref="U73:U114" si="6">SUM(P73:T73)</f>
        <v>1</v>
      </c>
      <c r="V73" s="21"/>
      <c r="W73" s="29">
        <f t="shared" si="4"/>
        <v>0</v>
      </c>
      <c r="X73" s="29">
        <f t="shared" si="4"/>
        <v>0</v>
      </c>
      <c r="Y73" s="29">
        <f t="shared" si="4"/>
        <v>0</v>
      </c>
      <c r="Z73" s="29">
        <f t="shared" si="4"/>
        <v>0</v>
      </c>
      <c r="AA73" s="29">
        <f t="shared" si="4"/>
        <v>396.12</v>
      </c>
    </row>
    <row r="74" spans="1:27" s="30" customFormat="1" ht="12.75" hidden="1" x14ac:dyDescent="0.2">
      <c r="A74" s="20" t="s">
        <v>166</v>
      </c>
      <c r="B74" s="21"/>
      <c r="C74" s="21">
        <v>67</v>
      </c>
      <c r="D74" s="22">
        <v>50</v>
      </c>
      <c r="E74" s="23" t="s">
        <v>93</v>
      </c>
      <c r="F74" s="23" t="s">
        <v>228</v>
      </c>
      <c r="G74" s="23" t="s">
        <v>229</v>
      </c>
      <c r="H74" s="23" t="s">
        <v>237</v>
      </c>
      <c r="I74" s="23" t="s">
        <v>66</v>
      </c>
      <c r="J74" s="24">
        <v>42423</v>
      </c>
      <c r="K74" s="21">
        <v>2</v>
      </c>
      <c r="L74" s="25">
        <v>1</v>
      </c>
      <c r="M74" s="22">
        <v>50</v>
      </c>
      <c r="N74" s="26">
        <f t="shared" si="5"/>
        <v>50</v>
      </c>
      <c r="O74" s="7"/>
      <c r="P74" s="27">
        <v>0</v>
      </c>
      <c r="Q74" s="27">
        <v>0</v>
      </c>
      <c r="R74" s="27">
        <v>0</v>
      </c>
      <c r="S74" s="27">
        <v>0</v>
      </c>
      <c r="T74" s="27">
        <v>1</v>
      </c>
      <c r="U74" s="28">
        <f t="shared" si="6"/>
        <v>1</v>
      </c>
      <c r="V74" s="21"/>
      <c r="W74" s="29">
        <f t="shared" si="4"/>
        <v>0</v>
      </c>
      <c r="X74" s="29">
        <f t="shared" si="4"/>
        <v>0</v>
      </c>
      <c r="Y74" s="29">
        <f t="shared" si="4"/>
        <v>0</v>
      </c>
      <c r="Z74" s="29">
        <f t="shared" si="4"/>
        <v>0</v>
      </c>
      <c r="AA74" s="29">
        <f t="shared" si="4"/>
        <v>50</v>
      </c>
    </row>
    <row r="75" spans="1:27" s="30" customFormat="1" ht="12.75" x14ac:dyDescent="0.2">
      <c r="A75" s="20" t="s">
        <v>248</v>
      </c>
      <c r="B75" s="151" t="s">
        <v>249</v>
      </c>
      <c r="C75" s="21">
        <v>68</v>
      </c>
      <c r="D75" s="32">
        <v>773.78</v>
      </c>
      <c r="E75" s="151" t="s">
        <v>93</v>
      </c>
      <c r="F75" s="23"/>
      <c r="G75" s="151"/>
      <c r="H75" s="151" t="s">
        <v>250</v>
      </c>
      <c r="I75" s="23" t="s">
        <v>65</v>
      </c>
      <c r="J75" s="148">
        <v>42425</v>
      </c>
      <c r="K75" s="21">
        <v>2</v>
      </c>
      <c r="L75" s="34">
        <v>1</v>
      </c>
      <c r="M75" s="32">
        <v>773.78</v>
      </c>
      <c r="N75" s="155">
        <f t="shared" si="5"/>
        <v>773.78</v>
      </c>
      <c r="O75" s="7"/>
      <c r="P75" s="27">
        <v>0</v>
      </c>
      <c r="Q75" s="27">
        <v>0</v>
      </c>
      <c r="R75" s="27">
        <v>0</v>
      </c>
      <c r="S75" s="27">
        <v>0</v>
      </c>
      <c r="T75" s="27">
        <v>1</v>
      </c>
      <c r="U75" s="28">
        <f t="shared" si="6"/>
        <v>1</v>
      </c>
      <c r="W75" s="29">
        <f t="shared" si="4"/>
        <v>0</v>
      </c>
      <c r="X75" s="29">
        <f t="shared" si="4"/>
        <v>0</v>
      </c>
      <c r="Y75" s="29">
        <f t="shared" si="4"/>
        <v>0</v>
      </c>
      <c r="Z75" s="29">
        <f t="shared" si="4"/>
        <v>0</v>
      </c>
      <c r="AA75" s="29">
        <f t="shared" si="4"/>
        <v>773.78</v>
      </c>
    </row>
    <row r="76" spans="1:27" s="30" customFormat="1" ht="12.75" x14ac:dyDescent="0.2">
      <c r="A76" s="20" t="s">
        <v>99</v>
      </c>
      <c r="B76" s="151" t="s">
        <v>251</v>
      </c>
      <c r="C76" s="21">
        <v>69</v>
      </c>
      <c r="D76" s="32">
        <v>695.28</v>
      </c>
      <c r="E76" s="151" t="s">
        <v>93</v>
      </c>
      <c r="F76" s="23" t="s">
        <v>252</v>
      </c>
      <c r="G76" s="151"/>
      <c r="H76" s="151" t="s">
        <v>253</v>
      </c>
      <c r="I76" s="23" t="s">
        <v>65</v>
      </c>
      <c r="J76" s="148">
        <v>42439</v>
      </c>
      <c r="K76" s="21">
        <v>3</v>
      </c>
      <c r="L76" s="34">
        <v>1</v>
      </c>
      <c r="M76" s="32">
        <v>695.28</v>
      </c>
      <c r="N76" s="155">
        <f t="shared" si="5"/>
        <v>695.28</v>
      </c>
      <c r="O76" s="7"/>
      <c r="P76" s="27">
        <v>0</v>
      </c>
      <c r="Q76" s="27">
        <v>0</v>
      </c>
      <c r="R76" s="27">
        <v>0</v>
      </c>
      <c r="S76" s="27">
        <v>0</v>
      </c>
      <c r="T76" s="27">
        <v>1</v>
      </c>
      <c r="U76" s="28">
        <f t="shared" si="6"/>
        <v>1</v>
      </c>
      <c r="W76" s="29">
        <f t="shared" si="4"/>
        <v>0</v>
      </c>
      <c r="X76" s="29">
        <f t="shared" si="4"/>
        <v>0</v>
      </c>
      <c r="Y76" s="29">
        <f t="shared" si="4"/>
        <v>0</v>
      </c>
      <c r="Z76" s="29">
        <f t="shared" si="4"/>
        <v>0</v>
      </c>
      <c r="AA76" s="29">
        <f t="shared" si="4"/>
        <v>695.28</v>
      </c>
    </row>
    <row r="77" spans="1:27" s="47" customFormat="1" ht="12.75" hidden="1" x14ac:dyDescent="0.2">
      <c r="A77" s="20" t="s">
        <v>166</v>
      </c>
      <c r="C77" s="48">
        <v>70</v>
      </c>
      <c r="D77" s="49">
        <v>25</v>
      </c>
      <c r="E77" s="46" t="s">
        <v>93</v>
      </c>
      <c r="F77" s="46" t="s">
        <v>228</v>
      </c>
      <c r="G77" s="46" t="s">
        <v>229</v>
      </c>
      <c r="H77" s="46" t="s">
        <v>237</v>
      </c>
      <c r="I77" s="46" t="s">
        <v>66</v>
      </c>
      <c r="J77" s="50">
        <v>42437</v>
      </c>
      <c r="K77" s="48">
        <v>3</v>
      </c>
      <c r="L77" s="51">
        <v>1</v>
      </c>
      <c r="M77" s="49">
        <v>25</v>
      </c>
      <c r="N77" s="26">
        <f t="shared" si="5"/>
        <v>25</v>
      </c>
      <c r="O77" s="52"/>
      <c r="P77" s="53">
        <v>0</v>
      </c>
      <c r="Q77" s="53">
        <v>0</v>
      </c>
      <c r="R77" s="53">
        <v>0</v>
      </c>
      <c r="S77" s="53">
        <v>0</v>
      </c>
      <c r="T77" s="53">
        <v>1</v>
      </c>
      <c r="U77" s="28">
        <f t="shared" si="6"/>
        <v>1</v>
      </c>
      <c r="W77" s="54">
        <f t="shared" si="4"/>
        <v>0</v>
      </c>
      <c r="X77" s="54">
        <f t="shared" si="4"/>
        <v>0</v>
      </c>
      <c r="Y77" s="54">
        <f t="shared" si="4"/>
        <v>0</v>
      </c>
      <c r="Z77" s="54">
        <f t="shared" si="4"/>
        <v>0</v>
      </c>
      <c r="AA77" s="54">
        <f t="shared" si="4"/>
        <v>25</v>
      </c>
    </row>
    <row r="78" spans="1:27" s="30" customFormat="1" ht="12.75" x14ac:dyDescent="0.2">
      <c r="A78" s="20" t="s">
        <v>103</v>
      </c>
      <c r="B78" s="151"/>
      <c r="C78" s="21">
        <v>71</v>
      </c>
      <c r="D78" s="32">
        <v>261.7</v>
      </c>
      <c r="E78" s="151" t="s">
        <v>93</v>
      </c>
      <c r="F78" s="23"/>
      <c r="G78" s="151"/>
      <c r="H78" s="151" t="s">
        <v>254</v>
      </c>
      <c r="I78" s="23" t="s">
        <v>65</v>
      </c>
      <c r="J78" s="148">
        <v>42439</v>
      </c>
      <c r="K78" s="21">
        <v>3</v>
      </c>
      <c r="L78" s="34">
        <v>1</v>
      </c>
      <c r="M78" s="32">
        <v>261.7</v>
      </c>
      <c r="N78" s="155">
        <f t="shared" si="5"/>
        <v>261.7</v>
      </c>
      <c r="O78" s="7"/>
      <c r="P78" s="27">
        <v>0</v>
      </c>
      <c r="Q78" s="27">
        <v>0</v>
      </c>
      <c r="R78" s="27">
        <v>0</v>
      </c>
      <c r="S78" s="27">
        <v>0</v>
      </c>
      <c r="T78" s="27">
        <v>1</v>
      </c>
      <c r="U78" s="28">
        <f t="shared" si="6"/>
        <v>1</v>
      </c>
      <c r="W78" s="29">
        <f t="shared" si="4"/>
        <v>0</v>
      </c>
      <c r="X78" s="29">
        <f t="shared" si="4"/>
        <v>0</v>
      </c>
      <c r="Y78" s="29">
        <f t="shared" si="4"/>
        <v>0</v>
      </c>
      <c r="Z78" s="29">
        <f t="shared" si="4"/>
        <v>0</v>
      </c>
      <c r="AA78" s="29">
        <f t="shared" si="4"/>
        <v>261.7</v>
      </c>
    </row>
    <row r="79" spans="1:27" s="30" customFormat="1" ht="12.75" x14ac:dyDescent="0.2">
      <c r="A79" s="20" t="s">
        <v>99</v>
      </c>
      <c r="B79" s="151" t="s">
        <v>255</v>
      </c>
      <c r="C79" s="21">
        <v>72</v>
      </c>
      <c r="D79" s="32">
        <v>555.26</v>
      </c>
      <c r="E79" s="151" t="s">
        <v>93</v>
      </c>
      <c r="F79" s="23" t="s">
        <v>256</v>
      </c>
      <c r="G79" s="151"/>
      <c r="H79" s="151" t="s">
        <v>257</v>
      </c>
      <c r="I79" s="23" t="s">
        <v>65</v>
      </c>
      <c r="J79" s="148">
        <v>42657</v>
      </c>
      <c r="K79" s="21">
        <v>10</v>
      </c>
      <c r="L79" s="34">
        <v>1</v>
      </c>
      <c r="M79" s="32">
        <v>555.26</v>
      </c>
      <c r="N79" s="155">
        <f t="shared" si="5"/>
        <v>555.26</v>
      </c>
      <c r="O79" s="7"/>
      <c r="P79" s="27">
        <v>0</v>
      </c>
      <c r="Q79" s="27">
        <v>0</v>
      </c>
      <c r="R79" s="27">
        <v>0</v>
      </c>
      <c r="S79" s="27">
        <v>0</v>
      </c>
      <c r="T79" s="27">
        <v>1</v>
      </c>
      <c r="U79" s="28">
        <f t="shared" si="6"/>
        <v>1</v>
      </c>
      <c r="W79" s="29">
        <f t="shared" si="4"/>
        <v>0</v>
      </c>
      <c r="X79" s="29">
        <f t="shared" si="4"/>
        <v>0</v>
      </c>
      <c r="Y79" s="29">
        <f t="shared" si="4"/>
        <v>0</v>
      </c>
      <c r="Z79" s="29">
        <f t="shared" si="4"/>
        <v>0</v>
      </c>
      <c r="AA79" s="29">
        <f t="shared" si="4"/>
        <v>555.26</v>
      </c>
    </row>
    <row r="80" spans="1:27" s="30" customFormat="1" ht="12.75" x14ac:dyDescent="0.2">
      <c r="A80" s="20" t="s">
        <v>166</v>
      </c>
      <c r="B80" s="151"/>
      <c r="C80" s="21">
        <v>73</v>
      </c>
      <c r="D80" s="32">
        <v>130.38999999999999</v>
      </c>
      <c r="E80" s="151" t="s">
        <v>93</v>
      </c>
      <c r="F80" s="23"/>
      <c r="G80" s="151"/>
      <c r="H80" s="151" t="s">
        <v>258</v>
      </c>
      <c r="I80" s="23" t="s">
        <v>65</v>
      </c>
      <c r="J80" s="148">
        <v>42657</v>
      </c>
      <c r="K80" s="21">
        <v>10</v>
      </c>
      <c r="L80" s="34">
        <v>1</v>
      </c>
      <c r="M80" s="32">
        <v>130.38999999999999</v>
      </c>
      <c r="N80" s="155">
        <f t="shared" si="5"/>
        <v>130.38999999999999</v>
      </c>
      <c r="O80" s="7"/>
      <c r="P80" s="27">
        <v>0</v>
      </c>
      <c r="Q80" s="27">
        <v>0</v>
      </c>
      <c r="R80" s="27">
        <v>0</v>
      </c>
      <c r="S80" s="27">
        <v>0</v>
      </c>
      <c r="T80" s="27">
        <v>1</v>
      </c>
      <c r="U80" s="28">
        <f t="shared" si="6"/>
        <v>1</v>
      </c>
      <c r="W80" s="29">
        <f t="shared" si="4"/>
        <v>0</v>
      </c>
      <c r="X80" s="29">
        <f t="shared" si="4"/>
        <v>0</v>
      </c>
      <c r="Y80" s="29">
        <f t="shared" si="4"/>
        <v>0</v>
      </c>
      <c r="Z80" s="29">
        <f t="shared" si="4"/>
        <v>0</v>
      </c>
      <c r="AA80" s="29">
        <f t="shared" si="4"/>
        <v>130.38999999999999</v>
      </c>
    </row>
    <row r="81" spans="1:27" s="30" customFormat="1" ht="12.75" x14ac:dyDescent="0.2">
      <c r="A81" s="20" t="s">
        <v>103</v>
      </c>
      <c r="B81" s="151"/>
      <c r="C81" s="21">
        <v>74</v>
      </c>
      <c r="D81" s="32">
        <v>165</v>
      </c>
      <c r="E81" s="151" t="s">
        <v>93</v>
      </c>
      <c r="F81" s="23"/>
      <c r="G81" s="151"/>
      <c r="H81" s="151" t="s">
        <v>259</v>
      </c>
      <c r="I81" s="23" t="s">
        <v>65</v>
      </c>
      <c r="J81" s="148">
        <v>42480</v>
      </c>
      <c r="K81" s="21">
        <v>4</v>
      </c>
      <c r="L81" s="34">
        <v>1</v>
      </c>
      <c r="M81" s="32">
        <v>165</v>
      </c>
      <c r="N81" s="155">
        <f t="shared" si="5"/>
        <v>165</v>
      </c>
      <c r="O81" s="7"/>
      <c r="P81" s="27">
        <v>0</v>
      </c>
      <c r="Q81" s="27">
        <v>0</v>
      </c>
      <c r="R81" s="27">
        <v>0</v>
      </c>
      <c r="S81" s="27">
        <v>0</v>
      </c>
      <c r="T81" s="27">
        <v>1</v>
      </c>
      <c r="U81" s="28">
        <f t="shared" si="6"/>
        <v>1</v>
      </c>
      <c r="W81" s="29">
        <f t="shared" si="4"/>
        <v>0</v>
      </c>
      <c r="X81" s="29">
        <f t="shared" si="4"/>
        <v>0</v>
      </c>
      <c r="Y81" s="29">
        <f t="shared" si="4"/>
        <v>0</v>
      </c>
      <c r="Z81" s="29">
        <f t="shared" si="4"/>
        <v>0</v>
      </c>
      <c r="AA81" s="29">
        <f t="shared" si="4"/>
        <v>165</v>
      </c>
    </row>
    <row r="82" spans="1:27" s="30" customFormat="1" ht="12.75" x14ac:dyDescent="0.2">
      <c r="A82" s="20" t="s">
        <v>99</v>
      </c>
      <c r="B82" s="151" t="s">
        <v>260</v>
      </c>
      <c r="C82" s="21">
        <v>75</v>
      </c>
      <c r="D82" s="32">
        <v>359.94</v>
      </c>
      <c r="E82" s="151" t="s">
        <v>93</v>
      </c>
      <c r="F82" s="23" t="s">
        <v>252</v>
      </c>
      <c r="G82" s="151"/>
      <c r="H82" s="151" t="s">
        <v>261</v>
      </c>
      <c r="I82" s="23" t="s">
        <v>65</v>
      </c>
      <c r="J82" s="148">
        <v>42480</v>
      </c>
      <c r="K82" s="21">
        <v>4</v>
      </c>
      <c r="L82" s="34">
        <v>1</v>
      </c>
      <c r="M82" s="32">
        <v>359.94</v>
      </c>
      <c r="N82" s="155">
        <f t="shared" si="5"/>
        <v>359.94</v>
      </c>
      <c r="O82" s="7"/>
      <c r="P82" s="27">
        <v>0</v>
      </c>
      <c r="Q82" s="27">
        <v>0</v>
      </c>
      <c r="R82" s="27">
        <v>0</v>
      </c>
      <c r="S82" s="27">
        <v>0</v>
      </c>
      <c r="T82" s="27">
        <v>1</v>
      </c>
      <c r="U82" s="28">
        <f t="shared" si="6"/>
        <v>1</v>
      </c>
      <c r="W82" s="29">
        <f t="shared" si="4"/>
        <v>0</v>
      </c>
      <c r="X82" s="29">
        <f t="shared" si="4"/>
        <v>0</v>
      </c>
      <c r="Y82" s="29">
        <f t="shared" si="4"/>
        <v>0</v>
      </c>
      <c r="Z82" s="29">
        <f t="shared" si="4"/>
        <v>0</v>
      </c>
      <c r="AA82" s="29">
        <f t="shared" si="4"/>
        <v>359.94</v>
      </c>
    </row>
    <row r="83" spans="1:27" s="30" customFormat="1" ht="12.75" x14ac:dyDescent="0.2">
      <c r="A83" s="20" t="s">
        <v>99</v>
      </c>
      <c r="B83" s="151" t="s">
        <v>262</v>
      </c>
      <c r="C83" s="21">
        <v>76</v>
      </c>
      <c r="D83" s="32">
        <v>411.26</v>
      </c>
      <c r="E83" s="151" t="s">
        <v>93</v>
      </c>
      <c r="F83" s="23" t="s">
        <v>263</v>
      </c>
      <c r="G83" s="151"/>
      <c r="H83" s="151" t="s">
        <v>264</v>
      </c>
      <c r="I83" s="23" t="s">
        <v>65</v>
      </c>
      <c r="J83" s="148">
        <v>42605</v>
      </c>
      <c r="K83" s="21">
        <v>8</v>
      </c>
      <c r="L83" s="34">
        <v>1</v>
      </c>
      <c r="M83" s="32">
        <v>411.26</v>
      </c>
      <c r="N83" s="155">
        <f t="shared" si="5"/>
        <v>411.26</v>
      </c>
      <c r="O83" s="7"/>
      <c r="P83" s="27">
        <v>0</v>
      </c>
      <c r="Q83" s="27">
        <v>0</v>
      </c>
      <c r="R83" s="27">
        <v>0</v>
      </c>
      <c r="S83" s="27">
        <v>0</v>
      </c>
      <c r="T83" s="27">
        <v>1</v>
      </c>
      <c r="U83" s="28">
        <f t="shared" si="6"/>
        <v>1</v>
      </c>
      <c r="W83" s="29">
        <f t="shared" si="4"/>
        <v>0</v>
      </c>
      <c r="X83" s="29">
        <f t="shared" si="4"/>
        <v>0</v>
      </c>
      <c r="Y83" s="29">
        <f t="shared" si="4"/>
        <v>0</v>
      </c>
      <c r="Z83" s="29">
        <f t="shared" si="4"/>
        <v>0</v>
      </c>
      <c r="AA83" s="29">
        <f t="shared" si="4"/>
        <v>411.26</v>
      </c>
    </row>
    <row r="84" spans="1:27" s="30" customFormat="1" ht="12.75" x14ac:dyDescent="0.2">
      <c r="A84" s="20" t="s">
        <v>265</v>
      </c>
      <c r="B84" s="151" t="s">
        <v>266</v>
      </c>
      <c r="C84" s="21">
        <v>77</v>
      </c>
      <c r="D84" s="32">
        <v>718.73</v>
      </c>
      <c r="E84" s="151" t="s">
        <v>93</v>
      </c>
      <c r="F84" s="23"/>
      <c r="G84" s="151"/>
      <c r="H84" s="151" t="s">
        <v>267</v>
      </c>
      <c r="I84" s="23" t="s">
        <v>65</v>
      </c>
      <c r="J84" s="148">
        <v>42703</v>
      </c>
      <c r="K84" s="21">
        <v>11</v>
      </c>
      <c r="L84" s="34">
        <v>1</v>
      </c>
      <c r="M84" s="32">
        <v>718.73</v>
      </c>
      <c r="N84" s="155">
        <f t="shared" si="5"/>
        <v>718.73</v>
      </c>
      <c r="O84" s="7"/>
      <c r="P84" s="27">
        <v>0</v>
      </c>
      <c r="Q84" s="27">
        <v>0</v>
      </c>
      <c r="R84" s="27">
        <v>0</v>
      </c>
      <c r="S84" s="27">
        <v>0</v>
      </c>
      <c r="T84" s="27">
        <v>1</v>
      </c>
      <c r="U84" s="28">
        <f t="shared" si="6"/>
        <v>1</v>
      </c>
      <c r="W84" s="29">
        <f t="shared" si="4"/>
        <v>0</v>
      </c>
      <c r="X84" s="29">
        <f t="shared" si="4"/>
        <v>0</v>
      </c>
      <c r="Y84" s="29">
        <f t="shared" si="4"/>
        <v>0</v>
      </c>
      <c r="Z84" s="29">
        <f t="shared" si="4"/>
        <v>0</v>
      </c>
      <c r="AA84" s="29">
        <f t="shared" si="4"/>
        <v>718.73</v>
      </c>
    </row>
    <row r="85" spans="1:27" s="52" customFormat="1" ht="12.75" hidden="1" x14ac:dyDescent="0.2">
      <c r="A85" s="20" t="s">
        <v>166</v>
      </c>
      <c r="B85" s="48"/>
      <c r="C85" s="21">
        <v>78</v>
      </c>
      <c r="D85" s="55">
        <v>2220</v>
      </c>
      <c r="E85" s="46" t="s">
        <v>93</v>
      </c>
      <c r="F85" s="46" t="s">
        <v>228</v>
      </c>
      <c r="G85" s="46" t="s">
        <v>229</v>
      </c>
      <c r="H85" s="46" t="s">
        <v>314</v>
      </c>
      <c r="I85" s="46" t="s">
        <v>66</v>
      </c>
      <c r="J85" s="56">
        <v>42380</v>
      </c>
      <c r="K85" s="48">
        <v>1</v>
      </c>
      <c r="L85" s="57">
        <v>1</v>
      </c>
      <c r="M85" s="55">
        <v>2220</v>
      </c>
      <c r="N85" s="26">
        <f t="shared" si="5"/>
        <v>2220</v>
      </c>
      <c r="P85" s="53">
        <v>0</v>
      </c>
      <c r="Q85" s="53">
        <v>0</v>
      </c>
      <c r="R85" s="53">
        <v>0</v>
      </c>
      <c r="S85" s="53">
        <v>0</v>
      </c>
      <c r="T85" s="53">
        <v>1</v>
      </c>
      <c r="U85" s="28">
        <f t="shared" si="6"/>
        <v>1</v>
      </c>
      <c r="W85" s="54">
        <f t="shared" ref="W85:W90" si="7">$N85*P85</f>
        <v>0</v>
      </c>
      <c r="X85" s="54">
        <f t="shared" ref="X85:X90" si="8">$N85*Q85</f>
        <v>0</v>
      </c>
      <c r="Y85" s="54">
        <f t="shared" ref="Y85:Y90" si="9">$N85*R85</f>
        <v>0</v>
      </c>
      <c r="Z85" s="54">
        <f t="shared" ref="Z85:Z90" si="10">$N85*S85</f>
        <v>0</v>
      </c>
      <c r="AA85" s="54">
        <f t="shared" ref="AA85:AA90" si="11">$N85*T85</f>
        <v>2220</v>
      </c>
    </row>
    <row r="86" spans="1:27" s="52" customFormat="1" ht="12.75" hidden="1" x14ac:dyDescent="0.2">
      <c r="A86" s="20" t="s">
        <v>166</v>
      </c>
      <c r="B86" s="48"/>
      <c r="C86" s="21">
        <v>79</v>
      </c>
      <c r="D86" s="55">
        <v>2220</v>
      </c>
      <c r="E86" s="46" t="s">
        <v>93</v>
      </c>
      <c r="F86" s="46" t="s">
        <v>228</v>
      </c>
      <c r="G86" s="46" t="s">
        <v>229</v>
      </c>
      <c r="H86" s="46" t="s">
        <v>315</v>
      </c>
      <c r="I86" s="46" t="s">
        <v>66</v>
      </c>
      <c r="J86" s="56">
        <v>42401</v>
      </c>
      <c r="K86" s="48">
        <v>2</v>
      </c>
      <c r="L86" s="57">
        <v>1</v>
      </c>
      <c r="M86" s="55">
        <v>2220</v>
      </c>
      <c r="N86" s="26">
        <f t="shared" si="5"/>
        <v>2220</v>
      </c>
      <c r="P86" s="53">
        <v>0</v>
      </c>
      <c r="Q86" s="53">
        <v>0</v>
      </c>
      <c r="R86" s="53">
        <v>0</v>
      </c>
      <c r="S86" s="53">
        <v>0</v>
      </c>
      <c r="T86" s="53">
        <v>1</v>
      </c>
      <c r="U86" s="28">
        <f t="shared" si="6"/>
        <v>1</v>
      </c>
      <c r="W86" s="54">
        <f t="shared" si="7"/>
        <v>0</v>
      </c>
      <c r="X86" s="54">
        <f t="shared" si="8"/>
        <v>0</v>
      </c>
      <c r="Y86" s="54">
        <f t="shared" si="9"/>
        <v>0</v>
      </c>
      <c r="Z86" s="54">
        <f t="shared" si="10"/>
        <v>0</v>
      </c>
      <c r="AA86" s="54">
        <f t="shared" si="11"/>
        <v>2220</v>
      </c>
    </row>
    <row r="87" spans="1:27" s="52" customFormat="1" ht="12.75" hidden="1" x14ac:dyDescent="0.2">
      <c r="A87" s="20" t="s">
        <v>166</v>
      </c>
      <c r="B87" s="48"/>
      <c r="C87" s="21">
        <v>80</v>
      </c>
      <c r="D87" s="55">
        <v>2220</v>
      </c>
      <c r="E87" s="46" t="s">
        <v>93</v>
      </c>
      <c r="F87" s="46" t="s">
        <v>228</v>
      </c>
      <c r="G87" s="46" t="s">
        <v>229</v>
      </c>
      <c r="H87" s="46" t="s">
        <v>316</v>
      </c>
      <c r="I87" s="46" t="s">
        <v>66</v>
      </c>
      <c r="J87" s="56">
        <v>42430</v>
      </c>
      <c r="K87" s="48">
        <v>3</v>
      </c>
      <c r="L87" s="57">
        <v>1</v>
      </c>
      <c r="M87" s="55">
        <v>2220</v>
      </c>
      <c r="N87" s="26">
        <f t="shared" si="5"/>
        <v>2220</v>
      </c>
      <c r="P87" s="53">
        <v>0</v>
      </c>
      <c r="Q87" s="53">
        <v>0</v>
      </c>
      <c r="R87" s="53">
        <v>0</v>
      </c>
      <c r="S87" s="53">
        <v>0</v>
      </c>
      <c r="T87" s="53">
        <v>1</v>
      </c>
      <c r="U87" s="28">
        <f t="shared" si="6"/>
        <v>1</v>
      </c>
      <c r="W87" s="54">
        <f t="shared" si="7"/>
        <v>0</v>
      </c>
      <c r="X87" s="54">
        <f t="shared" si="8"/>
        <v>0</v>
      </c>
      <c r="Y87" s="54">
        <f t="shared" si="9"/>
        <v>0</v>
      </c>
      <c r="Z87" s="54">
        <f t="shared" si="10"/>
        <v>0</v>
      </c>
      <c r="AA87" s="54">
        <f t="shared" si="11"/>
        <v>2220</v>
      </c>
    </row>
    <row r="88" spans="1:27" s="52" customFormat="1" ht="12.75" hidden="1" x14ac:dyDescent="0.2">
      <c r="A88" s="20" t="s">
        <v>166</v>
      </c>
      <c r="B88" s="48"/>
      <c r="C88" s="21">
        <v>81</v>
      </c>
      <c r="D88" s="55">
        <v>2220</v>
      </c>
      <c r="E88" s="46" t="s">
        <v>93</v>
      </c>
      <c r="F88" s="46" t="s">
        <v>228</v>
      </c>
      <c r="G88" s="46" t="s">
        <v>229</v>
      </c>
      <c r="H88" s="46" t="s">
        <v>317</v>
      </c>
      <c r="I88" s="46" t="s">
        <v>66</v>
      </c>
      <c r="J88" s="56">
        <v>42461</v>
      </c>
      <c r="K88" s="48">
        <v>4</v>
      </c>
      <c r="L88" s="57">
        <v>1</v>
      </c>
      <c r="M88" s="55">
        <v>2220</v>
      </c>
      <c r="N88" s="26">
        <f t="shared" si="5"/>
        <v>2220</v>
      </c>
      <c r="P88" s="53">
        <v>0</v>
      </c>
      <c r="Q88" s="53">
        <v>0</v>
      </c>
      <c r="R88" s="53">
        <v>0</v>
      </c>
      <c r="S88" s="53">
        <v>0</v>
      </c>
      <c r="T88" s="53">
        <v>1</v>
      </c>
      <c r="U88" s="28">
        <f t="shared" si="6"/>
        <v>1</v>
      </c>
      <c r="W88" s="54">
        <f t="shared" si="7"/>
        <v>0</v>
      </c>
      <c r="X88" s="54">
        <f t="shared" si="8"/>
        <v>0</v>
      </c>
      <c r="Y88" s="54">
        <f t="shared" si="9"/>
        <v>0</v>
      </c>
      <c r="Z88" s="54">
        <f t="shared" si="10"/>
        <v>0</v>
      </c>
      <c r="AA88" s="54">
        <f t="shared" si="11"/>
        <v>2220</v>
      </c>
    </row>
    <row r="89" spans="1:27" s="52" customFormat="1" ht="12.75" hidden="1" x14ac:dyDescent="0.2">
      <c r="A89" s="20" t="s">
        <v>166</v>
      </c>
      <c r="B89" s="48"/>
      <c r="C89" s="21">
        <v>82</v>
      </c>
      <c r="D89" s="55">
        <v>2220</v>
      </c>
      <c r="E89" s="46" t="s">
        <v>93</v>
      </c>
      <c r="F89" s="46" t="s">
        <v>228</v>
      </c>
      <c r="G89" s="46" t="s">
        <v>229</v>
      </c>
      <c r="H89" s="46" t="s">
        <v>318</v>
      </c>
      <c r="I89" s="46" t="s">
        <v>66</v>
      </c>
      <c r="J89" s="56">
        <v>42492</v>
      </c>
      <c r="K89" s="48">
        <v>5</v>
      </c>
      <c r="L89" s="57">
        <v>1</v>
      </c>
      <c r="M89" s="55">
        <v>2220</v>
      </c>
      <c r="N89" s="26">
        <f t="shared" si="5"/>
        <v>2220</v>
      </c>
      <c r="O89" s="77"/>
      <c r="P89" s="53">
        <v>0</v>
      </c>
      <c r="Q89" s="53">
        <v>0</v>
      </c>
      <c r="R89" s="53">
        <v>0</v>
      </c>
      <c r="S89" s="53">
        <v>0</v>
      </c>
      <c r="T89" s="53">
        <v>1</v>
      </c>
      <c r="U89" s="28">
        <f t="shared" si="6"/>
        <v>1</v>
      </c>
      <c r="W89" s="54">
        <f t="shared" si="7"/>
        <v>0</v>
      </c>
      <c r="X89" s="54">
        <f t="shared" si="8"/>
        <v>0</v>
      </c>
      <c r="Y89" s="54">
        <f t="shared" si="9"/>
        <v>0</v>
      </c>
      <c r="Z89" s="54">
        <f t="shared" si="10"/>
        <v>0</v>
      </c>
      <c r="AA89" s="54">
        <f t="shared" si="11"/>
        <v>2220</v>
      </c>
    </row>
    <row r="90" spans="1:27" s="52" customFormat="1" ht="12.75" hidden="1" x14ac:dyDescent="0.2">
      <c r="A90" s="20" t="s">
        <v>166</v>
      </c>
      <c r="B90" s="48"/>
      <c r="C90" s="21">
        <v>83</v>
      </c>
      <c r="D90" s="55">
        <v>2220</v>
      </c>
      <c r="E90" s="46" t="s">
        <v>93</v>
      </c>
      <c r="F90" s="46" t="s">
        <v>228</v>
      </c>
      <c r="G90" s="46" t="s">
        <v>229</v>
      </c>
      <c r="H90" s="46" t="s">
        <v>319</v>
      </c>
      <c r="I90" s="46" t="s">
        <v>66</v>
      </c>
      <c r="J90" s="56">
        <v>42522</v>
      </c>
      <c r="K90" s="48">
        <v>6</v>
      </c>
      <c r="L90" s="57">
        <v>1</v>
      </c>
      <c r="M90" s="55">
        <v>2220</v>
      </c>
      <c r="N90" s="26">
        <f t="shared" si="5"/>
        <v>2220</v>
      </c>
      <c r="O90" s="77"/>
      <c r="P90" s="53">
        <v>0</v>
      </c>
      <c r="Q90" s="53">
        <v>0</v>
      </c>
      <c r="R90" s="53">
        <v>0</v>
      </c>
      <c r="S90" s="53">
        <v>0</v>
      </c>
      <c r="T90" s="53">
        <v>1</v>
      </c>
      <c r="U90" s="28">
        <f t="shared" si="6"/>
        <v>1</v>
      </c>
      <c r="W90" s="54">
        <f t="shared" si="7"/>
        <v>0</v>
      </c>
      <c r="X90" s="54">
        <f t="shared" si="8"/>
        <v>0</v>
      </c>
      <c r="Y90" s="54">
        <f t="shared" si="9"/>
        <v>0</v>
      </c>
      <c r="Z90" s="54">
        <f t="shared" si="10"/>
        <v>0</v>
      </c>
      <c r="AA90" s="54">
        <f t="shared" si="11"/>
        <v>2220</v>
      </c>
    </row>
    <row r="91" spans="1:27" s="52" customFormat="1" ht="12.75" hidden="1" x14ac:dyDescent="0.2">
      <c r="A91" s="20" t="s">
        <v>321</v>
      </c>
      <c r="B91" s="75">
        <v>201600000000012</v>
      </c>
      <c r="C91" s="21">
        <v>84</v>
      </c>
      <c r="D91" s="55">
        <v>37210</v>
      </c>
      <c r="E91" s="46" t="s">
        <v>23</v>
      </c>
      <c r="F91" s="46" t="s">
        <v>322</v>
      </c>
      <c r="G91" s="46" t="s">
        <v>323</v>
      </c>
      <c r="H91" s="46" t="s">
        <v>183</v>
      </c>
      <c r="I91" s="46" t="s">
        <v>66</v>
      </c>
      <c r="J91" s="56">
        <v>42397</v>
      </c>
      <c r="K91" s="48">
        <v>1</v>
      </c>
      <c r="L91" s="57">
        <v>0.1</v>
      </c>
      <c r="M91" s="74">
        <v>37210</v>
      </c>
      <c r="N91" s="26">
        <f t="shared" si="5"/>
        <v>3721</v>
      </c>
      <c r="O91" s="78"/>
      <c r="P91" s="53">
        <v>0.25</v>
      </c>
      <c r="Q91" s="53">
        <v>0.25</v>
      </c>
      <c r="R91" s="53">
        <v>0.25</v>
      </c>
      <c r="S91" s="53">
        <v>0.25</v>
      </c>
      <c r="T91" s="53">
        <v>0</v>
      </c>
      <c r="U91" s="28">
        <f t="shared" si="6"/>
        <v>1</v>
      </c>
      <c r="W91" s="54">
        <f t="shared" ref="W91:W103" si="12">$N91*P91</f>
        <v>930.25</v>
      </c>
      <c r="X91" s="54">
        <f t="shared" ref="X91:X103" si="13">$N91*Q91</f>
        <v>930.25</v>
      </c>
      <c r="Y91" s="54">
        <f t="shared" ref="Y91:Y103" si="14">$N91*R91</f>
        <v>930.25</v>
      </c>
      <c r="Z91" s="54">
        <f t="shared" ref="Z91:Z103" si="15">$N91*S91</f>
        <v>930.25</v>
      </c>
      <c r="AA91" s="54">
        <f t="shared" ref="AA91:AA103" si="16">$N91*T91</f>
        <v>0</v>
      </c>
    </row>
    <row r="92" spans="1:27" s="52" customFormat="1" ht="12.75" hidden="1" x14ac:dyDescent="0.2">
      <c r="A92" s="20" t="s">
        <v>321</v>
      </c>
      <c r="B92" s="75">
        <v>201600000000013</v>
      </c>
      <c r="C92" s="21">
        <v>85</v>
      </c>
      <c r="D92" s="55">
        <v>31227</v>
      </c>
      <c r="E92" s="46" t="s">
        <v>23</v>
      </c>
      <c r="F92" s="46" t="s">
        <v>322</v>
      </c>
      <c r="G92" s="46" t="s">
        <v>323</v>
      </c>
      <c r="H92" s="46" t="s">
        <v>183</v>
      </c>
      <c r="I92" s="46" t="s">
        <v>66</v>
      </c>
      <c r="J92" s="56">
        <v>42425</v>
      </c>
      <c r="K92" s="48">
        <v>2</v>
      </c>
      <c r="L92" s="57">
        <v>0.1</v>
      </c>
      <c r="M92" s="74">
        <v>31227</v>
      </c>
      <c r="N92" s="26">
        <f t="shared" si="5"/>
        <v>3122.7000000000003</v>
      </c>
      <c r="O92" s="78"/>
      <c r="P92" s="53">
        <v>0.25</v>
      </c>
      <c r="Q92" s="53">
        <v>0.25</v>
      </c>
      <c r="R92" s="53">
        <v>0.25</v>
      </c>
      <c r="S92" s="53">
        <v>0.25</v>
      </c>
      <c r="T92" s="53">
        <v>0</v>
      </c>
      <c r="U92" s="28">
        <f t="shared" si="6"/>
        <v>1</v>
      </c>
      <c r="W92" s="54">
        <f t="shared" si="12"/>
        <v>780.67500000000007</v>
      </c>
      <c r="X92" s="54">
        <f t="shared" si="13"/>
        <v>780.67500000000007</v>
      </c>
      <c r="Y92" s="54">
        <f t="shared" si="14"/>
        <v>780.67500000000007</v>
      </c>
      <c r="Z92" s="54">
        <f t="shared" si="15"/>
        <v>780.67500000000007</v>
      </c>
      <c r="AA92" s="54">
        <f t="shared" si="16"/>
        <v>0</v>
      </c>
    </row>
    <row r="93" spans="1:27" s="52" customFormat="1" ht="12.75" hidden="1" x14ac:dyDescent="0.2">
      <c r="A93" s="20" t="s">
        <v>321</v>
      </c>
      <c r="B93" s="75">
        <v>201600000000016</v>
      </c>
      <c r="C93" s="21">
        <v>86</v>
      </c>
      <c r="D93" s="55">
        <v>31226.69</v>
      </c>
      <c r="E93" s="46" t="s">
        <v>23</v>
      </c>
      <c r="F93" s="46" t="s">
        <v>322</v>
      </c>
      <c r="G93" s="46" t="s">
        <v>323</v>
      </c>
      <c r="H93" s="46" t="s">
        <v>183</v>
      </c>
      <c r="I93" s="46" t="s">
        <v>66</v>
      </c>
      <c r="J93" s="56">
        <v>42458</v>
      </c>
      <c r="K93" s="48">
        <v>3</v>
      </c>
      <c r="L93" s="57">
        <v>0.1</v>
      </c>
      <c r="M93" s="74">
        <v>31226.69</v>
      </c>
      <c r="N93" s="26">
        <f t="shared" si="5"/>
        <v>3122.6689999999999</v>
      </c>
      <c r="O93" s="78"/>
      <c r="P93" s="53">
        <v>0.25</v>
      </c>
      <c r="Q93" s="53">
        <v>0.25</v>
      </c>
      <c r="R93" s="53">
        <v>0.25</v>
      </c>
      <c r="S93" s="53">
        <v>0.25</v>
      </c>
      <c r="T93" s="53">
        <v>0</v>
      </c>
      <c r="U93" s="28">
        <f t="shared" si="6"/>
        <v>1</v>
      </c>
      <c r="W93" s="54">
        <f t="shared" si="12"/>
        <v>780.66724999999997</v>
      </c>
      <c r="X93" s="54">
        <f t="shared" si="13"/>
        <v>780.66724999999997</v>
      </c>
      <c r="Y93" s="54">
        <f t="shared" si="14"/>
        <v>780.66724999999997</v>
      </c>
      <c r="Z93" s="54">
        <f t="shared" si="15"/>
        <v>780.66724999999997</v>
      </c>
      <c r="AA93" s="54">
        <f t="shared" si="16"/>
        <v>0</v>
      </c>
    </row>
    <row r="94" spans="1:27" s="52" customFormat="1" ht="12.75" hidden="1" x14ac:dyDescent="0.2">
      <c r="A94" s="20" t="s">
        <v>321</v>
      </c>
      <c r="B94" s="75">
        <v>201600000000019</v>
      </c>
      <c r="C94" s="21">
        <v>87</v>
      </c>
      <c r="D94" s="55">
        <v>31226.69</v>
      </c>
      <c r="E94" s="46" t="s">
        <v>23</v>
      </c>
      <c r="F94" s="46" t="s">
        <v>322</v>
      </c>
      <c r="G94" s="46" t="s">
        <v>323</v>
      </c>
      <c r="H94" s="46" t="s">
        <v>183</v>
      </c>
      <c r="I94" s="46" t="s">
        <v>66</v>
      </c>
      <c r="J94" s="56">
        <v>42488</v>
      </c>
      <c r="K94" s="48">
        <v>4</v>
      </c>
      <c r="L94" s="57">
        <v>0.1</v>
      </c>
      <c r="M94" s="74">
        <v>31226.69</v>
      </c>
      <c r="N94" s="26">
        <f t="shared" si="5"/>
        <v>3122.6689999999999</v>
      </c>
      <c r="O94" s="78"/>
      <c r="P94" s="53">
        <v>0.25</v>
      </c>
      <c r="Q94" s="53">
        <v>0.25</v>
      </c>
      <c r="R94" s="53">
        <v>0.25</v>
      </c>
      <c r="S94" s="53">
        <v>0.25</v>
      </c>
      <c r="T94" s="53">
        <v>0</v>
      </c>
      <c r="U94" s="28">
        <f t="shared" si="6"/>
        <v>1</v>
      </c>
      <c r="W94" s="54">
        <f t="shared" si="12"/>
        <v>780.66724999999997</v>
      </c>
      <c r="X94" s="54">
        <f t="shared" si="13"/>
        <v>780.66724999999997</v>
      </c>
      <c r="Y94" s="54">
        <f t="shared" si="14"/>
        <v>780.66724999999997</v>
      </c>
      <c r="Z94" s="54">
        <f t="shared" si="15"/>
        <v>780.66724999999997</v>
      </c>
      <c r="AA94" s="54">
        <f t="shared" si="16"/>
        <v>0</v>
      </c>
    </row>
    <row r="95" spans="1:27" s="52" customFormat="1" ht="12.75" hidden="1" x14ac:dyDescent="0.2">
      <c r="A95" s="20" t="s">
        <v>321</v>
      </c>
      <c r="B95" s="75">
        <v>201600000000023</v>
      </c>
      <c r="C95" s="21">
        <v>88</v>
      </c>
      <c r="D95" s="55">
        <v>28557</v>
      </c>
      <c r="E95" s="46" t="s">
        <v>23</v>
      </c>
      <c r="F95" s="46" t="s">
        <v>322</v>
      </c>
      <c r="G95" s="46" t="s">
        <v>323</v>
      </c>
      <c r="H95" s="46" t="s">
        <v>183</v>
      </c>
      <c r="I95" s="46" t="s">
        <v>66</v>
      </c>
      <c r="J95" s="56">
        <v>42517</v>
      </c>
      <c r="K95" s="48">
        <v>5</v>
      </c>
      <c r="L95" s="57">
        <v>0.1</v>
      </c>
      <c r="M95" s="74">
        <v>28557</v>
      </c>
      <c r="N95" s="26">
        <f t="shared" si="5"/>
        <v>2855.7000000000003</v>
      </c>
      <c r="O95" s="78"/>
      <c r="P95" s="53">
        <v>0.25</v>
      </c>
      <c r="Q95" s="53">
        <v>0.25</v>
      </c>
      <c r="R95" s="53">
        <v>0.25</v>
      </c>
      <c r="S95" s="53">
        <v>0.25</v>
      </c>
      <c r="T95" s="53">
        <v>0</v>
      </c>
      <c r="U95" s="28">
        <f t="shared" si="6"/>
        <v>1</v>
      </c>
      <c r="W95" s="54">
        <f t="shared" si="12"/>
        <v>713.92500000000007</v>
      </c>
      <c r="X95" s="54">
        <f t="shared" si="13"/>
        <v>713.92500000000007</v>
      </c>
      <c r="Y95" s="54">
        <f t="shared" si="14"/>
        <v>713.92500000000007</v>
      </c>
      <c r="Z95" s="54">
        <f t="shared" si="15"/>
        <v>713.92500000000007</v>
      </c>
      <c r="AA95" s="54">
        <f t="shared" si="16"/>
        <v>0</v>
      </c>
    </row>
    <row r="96" spans="1:27" s="52" customFormat="1" ht="12.75" hidden="1" x14ac:dyDescent="0.2">
      <c r="A96" s="20" t="s">
        <v>321</v>
      </c>
      <c r="B96" s="75">
        <v>201600000000024</v>
      </c>
      <c r="C96" s="21">
        <v>89</v>
      </c>
      <c r="D96" s="55">
        <v>28557</v>
      </c>
      <c r="E96" s="46" t="s">
        <v>23</v>
      </c>
      <c r="F96" s="46" t="s">
        <v>322</v>
      </c>
      <c r="G96" s="46" t="s">
        <v>323</v>
      </c>
      <c r="H96" s="46" t="s">
        <v>183</v>
      </c>
      <c r="I96" s="46" t="s">
        <v>66</v>
      </c>
      <c r="J96" s="56">
        <v>42550</v>
      </c>
      <c r="K96" s="48">
        <v>6</v>
      </c>
      <c r="L96" s="57">
        <v>0.1</v>
      </c>
      <c r="M96" s="74">
        <v>28557</v>
      </c>
      <c r="N96" s="26">
        <f t="shared" si="5"/>
        <v>2855.7000000000003</v>
      </c>
      <c r="O96" s="78"/>
      <c r="P96" s="53">
        <v>0.25</v>
      </c>
      <c r="Q96" s="53">
        <v>0.25</v>
      </c>
      <c r="R96" s="53">
        <v>0.25</v>
      </c>
      <c r="S96" s="53">
        <v>0.25</v>
      </c>
      <c r="T96" s="53">
        <v>0</v>
      </c>
      <c r="U96" s="28">
        <f t="shared" si="6"/>
        <v>1</v>
      </c>
      <c r="W96" s="54">
        <f t="shared" si="12"/>
        <v>713.92500000000007</v>
      </c>
      <c r="X96" s="54">
        <f t="shared" si="13"/>
        <v>713.92500000000007</v>
      </c>
      <c r="Y96" s="54">
        <f t="shared" si="14"/>
        <v>713.92500000000007</v>
      </c>
      <c r="Z96" s="54">
        <f t="shared" si="15"/>
        <v>713.92500000000007</v>
      </c>
      <c r="AA96" s="54">
        <f t="shared" si="16"/>
        <v>0</v>
      </c>
    </row>
    <row r="97" spans="1:27" s="52" customFormat="1" ht="12.75" hidden="1" x14ac:dyDescent="0.2">
      <c r="A97" s="20" t="s">
        <v>321</v>
      </c>
      <c r="B97" s="75">
        <v>201600000000028</v>
      </c>
      <c r="C97" s="21">
        <v>90</v>
      </c>
      <c r="D97" s="55">
        <v>28557</v>
      </c>
      <c r="E97" s="46" t="s">
        <v>23</v>
      </c>
      <c r="F97" s="46" t="s">
        <v>322</v>
      </c>
      <c r="G97" s="46" t="s">
        <v>323</v>
      </c>
      <c r="H97" s="46" t="s">
        <v>183</v>
      </c>
      <c r="I97" s="46" t="s">
        <v>66</v>
      </c>
      <c r="J97" s="56">
        <v>42579</v>
      </c>
      <c r="K97" s="48">
        <v>7</v>
      </c>
      <c r="L97" s="57">
        <v>0.1</v>
      </c>
      <c r="M97" s="74">
        <v>28557</v>
      </c>
      <c r="N97" s="26">
        <f t="shared" si="5"/>
        <v>2855.7000000000003</v>
      </c>
      <c r="O97" s="78"/>
      <c r="P97" s="53">
        <v>0.25</v>
      </c>
      <c r="Q97" s="53">
        <v>0.25</v>
      </c>
      <c r="R97" s="53">
        <v>0.25</v>
      </c>
      <c r="S97" s="53">
        <v>0.25</v>
      </c>
      <c r="T97" s="53">
        <v>0</v>
      </c>
      <c r="U97" s="28">
        <f t="shared" si="6"/>
        <v>1</v>
      </c>
      <c r="W97" s="54">
        <f t="shared" si="12"/>
        <v>713.92500000000007</v>
      </c>
      <c r="X97" s="54">
        <f t="shared" si="13"/>
        <v>713.92500000000007</v>
      </c>
      <c r="Y97" s="54">
        <f t="shared" si="14"/>
        <v>713.92500000000007</v>
      </c>
      <c r="Z97" s="54">
        <f t="shared" si="15"/>
        <v>713.92500000000007</v>
      </c>
      <c r="AA97" s="54">
        <f t="shared" si="16"/>
        <v>0</v>
      </c>
    </row>
    <row r="98" spans="1:27" s="52" customFormat="1" ht="12.75" hidden="1" x14ac:dyDescent="0.2">
      <c r="A98" s="20" t="s">
        <v>321</v>
      </c>
      <c r="B98" s="75">
        <v>201600000000029</v>
      </c>
      <c r="C98" s="21">
        <v>91</v>
      </c>
      <c r="D98" s="55">
        <v>28557</v>
      </c>
      <c r="E98" s="46" t="s">
        <v>23</v>
      </c>
      <c r="F98" s="46" t="s">
        <v>322</v>
      </c>
      <c r="G98" s="46" t="s">
        <v>323</v>
      </c>
      <c r="H98" s="46" t="s">
        <v>183</v>
      </c>
      <c r="I98" s="46" t="s">
        <v>66</v>
      </c>
      <c r="J98" s="56">
        <v>42611</v>
      </c>
      <c r="K98" s="48">
        <v>8</v>
      </c>
      <c r="L98" s="57">
        <v>0.1</v>
      </c>
      <c r="M98" s="74">
        <v>28557</v>
      </c>
      <c r="N98" s="26">
        <f t="shared" si="5"/>
        <v>2855.7000000000003</v>
      </c>
      <c r="O98" s="78"/>
      <c r="P98" s="53">
        <v>0.25</v>
      </c>
      <c r="Q98" s="53">
        <v>0.25</v>
      </c>
      <c r="R98" s="53">
        <v>0.25</v>
      </c>
      <c r="S98" s="53">
        <v>0.25</v>
      </c>
      <c r="T98" s="53">
        <v>0</v>
      </c>
      <c r="U98" s="28">
        <f t="shared" si="6"/>
        <v>1</v>
      </c>
      <c r="W98" s="54">
        <f t="shared" si="12"/>
        <v>713.92500000000007</v>
      </c>
      <c r="X98" s="54">
        <f t="shared" si="13"/>
        <v>713.92500000000007</v>
      </c>
      <c r="Y98" s="54">
        <f t="shared" si="14"/>
        <v>713.92500000000007</v>
      </c>
      <c r="Z98" s="54">
        <f t="shared" si="15"/>
        <v>713.92500000000007</v>
      </c>
      <c r="AA98" s="54">
        <f t="shared" si="16"/>
        <v>0</v>
      </c>
    </row>
    <row r="99" spans="1:27" s="52" customFormat="1" ht="12.75" hidden="1" x14ac:dyDescent="0.2">
      <c r="A99" s="20" t="s">
        <v>321</v>
      </c>
      <c r="B99" s="75">
        <v>201600000000032</v>
      </c>
      <c r="C99" s="21">
        <v>92</v>
      </c>
      <c r="D99" s="55">
        <v>28557</v>
      </c>
      <c r="E99" s="46" t="s">
        <v>23</v>
      </c>
      <c r="F99" s="46" t="s">
        <v>322</v>
      </c>
      <c r="G99" s="46" t="s">
        <v>323</v>
      </c>
      <c r="H99" s="46" t="s">
        <v>183</v>
      </c>
      <c r="I99" s="46" t="s">
        <v>66</v>
      </c>
      <c r="J99" s="56">
        <v>42642</v>
      </c>
      <c r="K99" s="48">
        <v>9</v>
      </c>
      <c r="L99" s="57">
        <v>0.1</v>
      </c>
      <c r="M99" s="74">
        <v>28557</v>
      </c>
      <c r="N99" s="26">
        <f t="shared" si="5"/>
        <v>2855.7000000000003</v>
      </c>
      <c r="O99" s="78"/>
      <c r="P99" s="53">
        <v>0.25</v>
      </c>
      <c r="Q99" s="53">
        <v>0.25</v>
      </c>
      <c r="R99" s="53">
        <v>0.25</v>
      </c>
      <c r="S99" s="53">
        <v>0.25</v>
      </c>
      <c r="T99" s="53">
        <v>0</v>
      </c>
      <c r="U99" s="28">
        <f t="shared" si="6"/>
        <v>1</v>
      </c>
      <c r="W99" s="54">
        <f t="shared" si="12"/>
        <v>713.92500000000007</v>
      </c>
      <c r="X99" s="54">
        <f t="shared" si="13"/>
        <v>713.92500000000007</v>
      </c>
      <c r="Y99" s="54">
        <f t="shared" si="14"/>
        <v>713.92500000000007</v>
      </c>
      <c r="Z99" s="54">
        <f t="shared" si="15"/>
        <v>713.92500000000007</v>
      </c>
      <c r="AA99" s="54">
        <f t="shared" si="16"/>
        <v>0</v>
      </c>
    </row>
    <row r="100" spans="1:27" s="52" customFormat="1" ht="12.75" hidden="1" x14ac:dyDescent="0.2">
      <c r="A100" s="20" t="s">
        <v>321</v>
      </c>
      <c r="B100" s="75">
        <v>201600000000035</v>
      </c>
      <c r="C100" s="21">
        <v>93</v>
      </c>
      <c r="D100" s="55">
        <v>28557</v>
      </c>
      <c r="E100" s="46" t="s">
        <v>23</v>
      </c>
      <c r="F100" s="46" t="s">
        <v>322</v>
      </c>
      <c r="G100" s="46" t="s">
        <v>323</v>
      </c>
      <c r="H100" s="46" t="s">
        <v>183</v>
      </c>
      <c r="I100" s="46" t="s">
        <v>66</v>
      </c>
      <c r="J100" s="56">
        <v>42674</v>
      </c>
      <c r="K100" s="48">
        <v>10</v>
      </c>
      <c r="L100" s="57">
        <v>0.1</v>
      </c>
      <c r="M100" s="74">
        <v>28557</v>
      </c>
      <c r="N100" s="26">
        <f t="shared" si="5"/>
        <v>2855.7000000000003</v>
      </c>
      <c r="O100" s="78"/>
      <c r="P100" s="53">
        <v>0.25</v>
      </c>
      <c r="Q100" s="53">
        <v>0.25</v>
      </c>
      <c r="R100" s="53">
        <v>0.25</v>
      </c>
      <c r="S100" s="53">
        <v>0.25</v>
      </c>
      <c r="T100" s="53">
        <v>0</v>
      </c>
      <c r="U100" s="28">
        <f t="shared" si="6"/>
        <v>1</v>
      </c>
      <c r="W100" s="54">
        <f t="shared" si="12"/>
        <v>713.92500000000007</v>
      </c>
      <c r="X100" s="54">
        <f t="shared" si="13"/>
        <v>713.92500000000007</v>
      </c>
      <c r="Y100" s="54">
        <f t="shared" si="14"/>
        <v>713.92500000000007</v>
      </c>
      <c r="Z100" s="54">
        <f t="shared" si="15"/>
        <v>713.92500000000007</v>
      </c>
      <c r="AA100" s="54">
        <f t="shared" si="16"/>
        <v>0</v>
      </c>
    </row>
    <row r="101" spans="1:27" s="52" customFormat="1" ht="12.75" hidden="1" x14ac:dyDescent="0.2">
      <c r="A101" s="20" t="s">
        <v>321</v>
      </c>
      <c r="B101" s="75">
        <v>201600000000038</v>
      </c>
      <c r="C101" s="21">
        <v>94</v>
      </c>
      <c r="D101" s="55">
        <v>28557</v>
      </c>
      <c r="E101" s="46" t="s">
        <v>23</v>
      </c>
      <c r="F101" s="46" t="s">
        <v>322</v>
      </c>
      <c r="G101" s="46" t="s">
        <v>323</v>
      </c>
      <c r="H101" s="46" t="s">
        <v>183</v>
      </c>
      <c r="I101" s="46" t="s">
        <v>66</v>
      </c>
      <c r="J101" s="56">
        <v>42703</v>
      </c>
      <c r="K101" s="48">
        <v>11</v>
      </c>
      <c r="L101" s="57">
        <v>0.1</v>
      </c>
      <c r="M101" s="74">
        <v>28557</v>
      </c>
      <c r="N101" s="26">
        <f t="shared" si="5"/>
        <v>2855.7000000000003</v>
      </c>
      <c r="O101" s="78"/>
      <c r="P101" s="53">
        <v>0.25</v>
      </c>
      <c r="Q101" s="53">
        <v>0.25</v>
      </c>
      <c r="R101" s="53">
        <v>0.25</v>
      </c>
      <c r="S101" s="53">
        <v>0.25</v>
      </c>
      <c r="T101" s="53">
        <v>0</v>
      </c>
      <c r="U101" s="28">
        <f t="shared" si="6"/>
        <v>1</v>
      </c>
      <c r="W101" s="54">
        <f t="shared" si="12"/>
        <v>713.92500000000007</v>
      </c>
      <c r="X101" s="54">
        <f t="shared" si="13"/>
        <v>713.92500000000007</v>
      </c>
      <c r="Y101" s="54">
        <f t="shared" si="14"/>
        <v>713.92500000000007</v>
      </c>
      <c r="Z101" s="54">
        <f t="shared" si="15"/>
        <v>713.92500000000007</v>
      </c>
      <c r="AA101" s="54">
        <f t="shared" si="16"/>
        <v>0</v>
      </c>
    </row>
    <row r="102" spans="1:27" s="52" customFormat="1" ht="12.75" hidden="1" x14ac:dyDescent="0.2">
      <c r="A102" s="20" t="s">
        <v>321</v>
      </c>
      <c r="B102" s="76">
        <v>201600000000042</v>
      </c>
      <c r="C102" s="21">
        <v>95</v>
      </c>
      <c r="D102" s="55">
        <v>28557</v>
      </c>
      <c r="E102" s="46" t="s">
        <v>23</v>
      </c>
      <c r="F102" s="46" t="s">
        <v>322</v>
      </c>
      <c r="G102" s="46" t="s">
        <v>323</v>
      </c>
      <c r="H102" s="46" t="s">
        <v>183</v>
      </c>
      <c r="I102" s="46" t="s">
        <v>66</v>
      </c>
      <c r="J102" s="56">
        <v>42726</v>
      </c>
      <c r="K102" s="48">
        <v>12</v>
      </c>
      <c r="L102" s="57">
        <v>0.1</v>
      </c>
      <c r="M102" s="74">
        <v>28557</v>
      </c>
      <c r="N102" s="26">
        <f t="shared" si="5"/>
        <v>2855.7000000000003</v>
      </c>
      <c r="O102" s="78"/>
      <c r="P102" s="53">
        <v>0.25</v>
      </c>
      <c r="Q102" s="53">
        <v>0.25</v>
      </c>
      <c r="R102" s="53">
        <v>0.25</v>
      </c>
      <c r="S102" s="53">
        <v>0.25</v>
      </c>
      <c r="T102" s="53">
        <v>0</v>
      </c>
      <c r="U102" s="28">
        <f t="shared" si="6"/>
        <v>1</v>
      </c>
      <c r="W102" s="54">
        <f t="shared" si="12"/>
        <v>713.92500000000007</v>
      </c>
      <c r="X102" s="54">
        <f t="shared" si="13"/>
        <v>713.92500000000007</v>
      </c>
      <c r="Y102" s="54">
        <f t="shared" si="14"/>
        <v>713.92500000000007</v>
      </c>
      <c r="Z102" s="54">
        <f t="shared" si="15"/>
        <v>713.92500000000007</v>
      </c>
      <c r="AA102" s="54">
        <f t="shared" si="16"/>
        <v>0</v>
      </c>
    </row>
    <row r="103" spans="1:27" s="52" customFormat="1" ht="12.75" hidden="1" x14ac:dyDescent="0.2">
      <c r="A103" s="20" t="s">
        <v>321</v>
      </c>
      <c r="B103" s="48">
        <v>32</v>
      </c>
      <c r="C103" s="21">
        <v>96</v>
      </c>
      <c r="D103" s="55">
        <f>13766*(1+1/12)</f>
        <v>14913.166666666666</v>
      </c>
      <c r="E103" s="46" t="s">
        <v>32</v>
      </c>
      <c r="F103" s="46" t="s">
        <v>324</v>
      </c>
      <c r="G103" s="46" t="s">
        <v>325</v>
      </c>
      <c r="H103" s="46" t="s">
        <v>326</v>
      </c>
      <c r="I103" s="69" t="s">
        <v>66</v>
      </c>
      <c r="J103" s="56">
        <v>42396</v>
      </c>
      <c r="K103" s="48">
        <v>1</v>
      </c>
      <c r="L103" s="57">
        <v>0.7</v>
      </c>
      <c r="M103" s="55">
        <f>13766*(1+1/12)</f>
        <v>14913.166666666666</v>
      </c>
      <c r="N103" s="26">
        <f t="shared" si="5"/>
        <v>10439.216666666665</v>
      </c>
      <c r="O103" s="77"/>
      <c r="P103" s="53">
        <v>0.25</v>
      </c>
      <c r="Q103" s="53">
        <v>0.25</v>
      </c>
      <c r="R103" s="53">
        <v>0.25</v>
      </c>
      <c r="S103" s="53">
        <v>0.25</v>
      </c>
      <c r="T103" s="53">
        <v>0</v>
      </c>
      <c r="U103" s="28">
        <f t="shared" si="6"/>
        <v>1</v>
      </c>
      <c r="W103" s="54">
        <f t="shared" si="12"/>
        <v>2609.8041666666663</v>
      </c>
      <c r="X103" s="54">
        <f t="shared" si="13"/>
        <v>2609.8041666666663</v>
      </c>
      <c r="Y103" s="54">
        <f t="shared" si="14"/>
        <v>2609.8041666666663</v>
      </c>
      <c r="Z103" s="54">
        <f t="shared" si="15"/>
        <v>2609.8041666666663</v>
      </c>
      <c r="AA103" s="54">
        <f t="shared" si="16"/>
        <v>0</v>
      </c>
    </row>
    <row r="104" spans="1:27" s="52" customFormat="1" ht="12.75" hidden="1" x14ac:dyDescent="0.2">
      <c r="A104" s="20" t="s">
        <v>321</v>
      </c>
      <c r="B104" s="48">
        <v>33</v>
      </c>
      <c r="C104" s="21">
        <v>97</v>
      </c>
      <c r="D104" s="55">
        <f>13766*(1+1/12)</f>
        <v>14913.166666666666</v>
      </c>
      <c r="E104" s="46" t="s">
        <v>32</v>
      </c>
      <c r="F104" s="46" t="s">
        <v>324</v>
      </c>
      <c r="G104" s="46" t="s">
        <v>325</v>
      </c>
      <c r="H104" s="46" t="s">
        <v>326</v>
      </c>
      <c r="I104" s="69" t="s">
        <v>66</v>
      </c>
      <c r="J104" s="56">
        <v>42424</v>
      </c>
      <c r="K104" s="48">
        <v>2</v>
      </c>
      <c r="L104" s="57">
        <v>0.7</v>
      </c>
      <c r="M104" s="55">
        <f>13766*(1+1/12)</f>
        <v>14913.166666666666</v>
      </c>
      <c r="N104" s="26">
        <f t="shared" si="5"/>
        <v>10439.216666666665</v>
      </c>
      <c r="O104" s="77"/>
      <c r="P104" s="53">
        <v>0.25</v>
      </c>
      <c r="Q104" s="53">
        <v>0.25</v>
      </c>
      <c r="R104" s="53">
        <v>0.25</v>
      </c>
      <c r="S104" s="53">
        <v>0.25</v>
      </c>
      <c r="T104" s="53">
        <v>0</v>
      </c>
      <c r="U104" s="28">
        <f t="shared" si="6"/>
        <v>1</v>
      </c>
      <c r="W104" s="54">
        <f t="shared" ref="W104:W114" si="17">$N104*P104</f>
        <v>2609.8041666666663</v>
      </c>
      <c r="X104" s="54">
        <f t="shared" ref="X104:X114" si="18">$N104*Q104</f>
        <v>2609.8041666666663</v>
      </c>
      <c r="Y104" s="54">
        <f t="shared" ref="Y104:Y114" si="19">$N104*R104</f>
        <v>2609.8041666666663</v>
      </c>
      <c r="Z104" s="54">
        <f t="shared" ref="Z104:Z114" si="20">$N104*S104</f>
        <v>2609.8041666666663</v>
      </c>
      <c r="AA104" s="54">
        <f t="shared" ref="AA104:AA114" si="21">$N104*T104</f>
        <v>0</v>
      </c>
    </row>
    <row r="105" spans="1:27" s="52" customFormat="1" ht="12.75" hidden="1" x14ac:dyDescent="0.2">
      <c r="A105" s="20" t="s">
        <v>321</v>
      </c>
      <c r="B105" s="48">
        <v>34</v>
      </c>
      <c r="C105" s="21">
        <v>98</v>
      </c>
      <c r="D105" s="55">
        <f>11960.11*(1+1/12)</f>
        <v>12956.785833333333</v>
      </c>
      <c r="E105" s="46" t="s">
        <v>32</v>
      </c>
      <c r="F105" s="46" t="s">
        <v>324</v>
      </c>
      <c r="G105" s="46" t="s">
        <v>325</v>
      </c>
      <c r="H105" s="46" t="s">
        <v>326</v>
      </c>
      <c r="I105" s="69" t="s">
        <v>66</v>
      </c>
      <c r="J105" s="56">
        <v>42452</v>
      </c>
      <c r="K105" s="48">
        <v>3</v>
      </c>
      <c r="L105" s="57">
        <v>0.7</v>
      </c>
      <c r="M105" s="55">
        <f>11960.11*(1+1/12)</f>
        <v>12956.785833333333</v>
      </c>
      <c r="N105" s="26">
        <f t="shared" si="5"/>
        <v>9069.7500833333324</v>
      </c>
      <c r="O105" s="77"/>
      <c r="P105" s="53">
        <v>0.25</v>
      </c>
      <c r="Q105" s="53">
        <v>0.25</v>
      </c>
      <c r="R105" s="53">
        <v>0.25</v>
      </c>
      <c r="S105" s="53">
        <v>0.25</v>
      </c>
      <c r="T105" s="53">
        <v>0</v>
      </c>
      <c r="U105" s="28">
        <f t="shared" si="6"/>
        <v>1</v>
      </c>
      <c r="W105" s="54">
        <f t="shared" si="17"/>
        <v>2267.4375208333331</v>
      </c>
      <c r="X105" s="54">
        <f t="shared" si="18"/>
        <v>2267.4375208333331</v>
      </c>
      <c r="Y105" s="54">
        <f t="shared" si="19"/>
        <v>2267.4375208333331</v>
      </c>
      <c r="Z105" s="54">
        <f t="shared" si="20"/>
        <v>2267.4375208333331</v>
      </c>
      <c r="AA105" s="54">
        <f t="shared" si="21"/>
        <v>0</v>
      </c>
    </row>
    <row r="106" spans="1:27" s="52" customFormat="1" ht="12.75" hidden="1" x14ac:dyDescent="0.2">
      <c r="A106" s="20" t="s">
        <v>321</v>
      </c>
      <c r="B106" s="48">
        <v>35</v>
      </c>
      <c r="C106" s="21">
        <v>99</v>
      </c>
      <c r="D106" s="55">
        <f t="shared" ref="D106:D114" si="22">11960.11*(1+1/12)</f>
        <v>12956.785833333333</v>
      </c>
      <c r="E106" s="46" t="s">
        <v>32</v>
      </c>
      <c r="F106" s="46" t="s">
        <v>324</v>
      </c>
      <c r="G106" s="46" t="s">
        <v>325</v>
      </c>
      <c r="H106" s="46" t="s">
        <v>326</v>
      </c>
      <c r="I106" s="69" t="s">
        <v>66</v>
      </c>
      <c r="J106" s="56">
        <v>42485</v>
      </c>
      <c r="K106" s="48">
        <v>4</v>
      </c>
      <c r="L106" s="57">
        <v>0.7</v>
      </c>
      <c r="M106" s="55">
        <f t="shared" ref="M106:M114" si="23">11960.11*(1+1/12)</f>
        <v>12956.785833333333</v>
      </c>
      <c r="N106" s="26">
        <f t="shared" si="5"/>
        <v>9069.7500833333324</v>
      </c>
      <c r="O106" s="77"/>
      <c r="P106" s="53">
        <v>0.25</v>
      </c>
      <c r="Q106" s="53">
        <v>0.25</v>
      </c>
      <c r="R106" s="53">
        <v>0.25</v>
      </c>
      <c r="S106" s="53">
        <v>0.25</v>
      </c>
      <c r="T106" s="53">
        <v>0</v>
      </c>
      <c r="U106" s="28">
        <f t="shared" si="6"/>
        <v>1</v>
      </c>
      <c r="W106" s="54">
        <f t="shared" si="17"/>
        <v>2267.4375208333331</v>
      </c>
      <c r="X106" s="54">
        <f t="shared" si="18"/>
        <v>2267.4375208333331</v>
      </c>
      <c r="Y106" s="54">
        <f t="shared" si="19"/>
        <v>2267.4375208333331</v>
      </c>
      <c r="Z106" s="54">
        <f t="shared" si="20"/>
        <v>2267.4375208333331</v>
      </c>
      <c r="AA106" s="54">
        <f t="shared" si="21"/>
        <v>0</v>
      </c>
    </row>
    <row r="107" spans="1:27" s="52" customFormat="1" ht="12.75" hidden="1" x14ac:dyDescent="0.2">
      <c r="A107" s="20" t="s">
        <v>321</v>
      </c>
      <c r="B107" s="48">
        <v>36</v>
      </c>
      <c r="C107" s="21">
        <v>100</v>
      </c>
      <c r="D107" s="55">
        <f t="shared" si="22"/>
        <v>12956.785833333333</v>
      </c>
      <c r="E107" s="46" t="s">
        <v>32</v>
      </c>
      <c r="F107" s="46" t="s">
        <v>324</v>
      </c>
      <c r="G107" s="46" t="s">
        <v>325</v>
      </c>
      <c r="H107" s="46" t="s">
        <v>326</v>
      </c>
      <c r="I107" s="69" t="s">
        <v>66</v>
      </c>
      <c r="J107" s="56">
        <v>42517</v>
      </c>
      <c r="K107" s="48">
        <v>5</v>
      </c>
      <c r="L107" s="57">
        <v>0.7</v>
      </c>
      <c r="M107" s="55">
        <f t="shared" si="23"/>
        <v>12956.785833333333</v>
      </c>
      <c r="N107" s="26">
        <f t="shared" si="5"/>
        <v>9069.7500833333324</v>
      </c>
      <c r="O107" s="77"/>
      <c r="P107" s="53">
        <v>0.25</v>
      </c>
      <c r="Q107" s="53">
        <v>0.25</v>
      </c>
      <c r="R107" s="53">
        <v>0.25</v>
      </c>
      <c r="S107" s="53">
        <v>0.25</v>
      </c>
      <c r="T107" s="53">
        <v>0</v>
      </c>
      <c r="U107" s="28">
        <f t="shared" si="6"/>
        <v>1</v>
      </c>
      <c r="W107" s="54">
        <f t="shared" si="17"/>
        <v>2267.4375208333331</v>
      </c>
      <c r="X107" s="54">
        <f t="shared" si="18"/>
        <v>2267.4375208333331</v>
      </c>
      <c r="Y107" s="54">
        <f t="shared" si="19"/>
        <v>2267.4375208333331</v>
      </c>
      <c r="Z107" s="54">
        <f t="shared" si="20"/>
        <v>2267.4375208333331</v>
      </c>
      <c r="AA107" s="54">
        <f t="shared" si="21"/>
        <v>0</v>
      </c>
    </row>
    <row r="108" spans="1:27" s="52" customFormat="1" ht="12.75" hidden="1" x14ac:dyDescent="0.2">
      <c r="A108" s="20" t="s">
        <v>321</v>
      </c>
      <c r="B108" s="48">
        <v>37</v>
      </c>
      <c r="C108" s="21">
        <v>101</v>
      </c>
      <c r="D108" s="55">
        <f t="shared" si="22"/>
        <v>12956.785833333333</v>
      </c>
      <c r="E108" s="46" t="s">
        <v>32</v>
      </c>
      <c r="F108" s="46" t="s">
        <v>324</v>
      </c>
      <c r="G108" s="46" t="s">
        <v>325</v>
      </c>
      <c r="H108" s="46" t="s">
        <v>326</v>
      </c>
      <c r="I108" s="69" t="s">
        <v>66</v>
      </c>
      <c r="J108" s="56">
        <v>42548</v>
      </c>
      <c r="K108" s="48">
        <v>6</v>
      </c>
      <c r="L108" s="57">
        <v>0.7</v>
      </c>
      <c r="M108" s="55">
        <f t="shared" si="23"/>
        <v>12956.785833333333</v>
      </c>
      <c r="N108" s="26">
        <f t="shared" si="5"/>
        <v>9069.7500833333324</v>
      </c>
      <c r="O108" s="77"/>
      <c r="P108" s="53">
        <v>0.25</v>
      </c>
      <c r="Q108" s="53">
        <v>0.25</v>
      </c>
      <c r="R108" s="53">
        <v>0.25</v>
      </c>
      <c r="S108" s="53">
        <v>0.25</v>
      </c>
      <c r="T108" s="53">
        <v>0</v>
      </c>
      <c r="U108" s="28">
        <f t="shared" si="6"/>
        <v>1</v>
      </c>
      <c r="W108" s="54">
        <f t="shared" si="17"/>
        <v>2267.4375208333331</v>
      </c>
      <c r="X108" s="54">
        <f t="shared" si="18"/>
        <v>2267.4375208333331</v>
      </c>
      <c r="Y108" s="54">
        <f t="shared" si="19"/>
        <v>2267.4375208333331</v>
      </c>
      <c r="Z108" s="54">
        <f t="shared" si="20"/>
        <v>2267.4375208333331</v>
      </c>
      <c r="AA108" s="54">
        <f t="shared" si="21"/>
        <v>0</v>
      </c>
    </row>
    <row r="109" spans="1:27" s="52" customFormat="1" ht="12.75" hidden="1" x14ac:dyDescent="0.2">
      <c r="A109" s="20" t="s">
        <v>321</v>
      </c>
      <c r="B109" s="48">
        <v>38</v>
      </c>
      <c r="C109" s="21">
        <v>102</v>
      </c>
      <c r="D109" s="55">
        <f t="shared" si="22"/>
        <v>12956.785833333333</v>
      </c>
      <c r="E109" s="46" t="s">
        <v>32</v>
      </c>
      <c r="F109" s="46" t="s">
        <v>324</v>
      </c>
      <c r="G109" s="46" t="s">
        <v>325</v>
      </c>
      <c r="H109" s="46" t="s">
        <v>326</v>
      </c>
      <c r="I109" s="69" t="s">
        <v>66</v>
      </c>
      <c r="J109" s="56">
        <v>42576</v>
      </c>
      <c r="K109" s="48">
        <v>7</v>
      </c>
      <c r="L109" s="57">
        <v>0.7</v>
      </c>
      <c r="M109" s="55">
        <f t="shared" si="23"/>
        <v>12956.785833333333</v>
      </c>
      <c r="N109" s="26">
        <f t="shared" si="5"/>
        <v>9069.7500833333324</v>
      </c>
      <c r="O109" s="77"/>
      <c r="P109" s="53">
        <v>0.25</v>
      </c>
      <c r="Q109" s="53">
        <v>0.25</v>
      </c>
      <c r="R109" s="53">
        <v>0.25</v>
      </c>
      <c r="S109" s="53">
        <v>0.25</v>
      </c>
      <c r="T109" s="53">
        <v>0</v>
      </c>
      <c r="U109" s="28">
        <f t="shared" si="6"/>
        <v>1</v>
      </c>
      <c r="W109" s="54">
        <f t="shared" si="17"/>
        <v>2267.4375208333331</v>
      </c>
      <c r="X109" s="54">
        <f t="shared" si="18"/>
        <v>2267.4375208333331</v>
      </c>
      <c r="Y109" s="54">
        <f t="shared" si="19"/>
        <v>2267.4375208333331</v>
      </c>
      <c r="Z109" s="54">
        <f t="shared" si="20"/>
        <v>2267.4375208333331</v>
      </c>
      <c r="AA109" s="54">
        <f t="shared" si="21"/>
        <v>0</v>
      </c>
    </row>
    <row r="110" spans="1:27" s="52" customFormat="1" ht="12.75" hidden="1" x14ac:dyDescent="0.2">
      <c r="A110" s="20" t="s">
        <v>321</v>
      </c>
      <c r="B110" s="48">
        <v>39</v>
      </c>
      <c r="C110" s="21">
        <v>103</v>
      </c>
      <c r="D110" s="55">
        <f t="shared" si="22"/>
        <v>12956.785833333333</v>
      </c>
      <c r="E110" s="46" t="s">
        <v>32</v>
      </c>
      <c r="F110" s="46" t="s">
        <v>324</v>
      </c>
      <c r="G110" s="46" t="s">
        <v>325</v>
      </c>
      <c r="H110" s="46" t="s">
        <v>326</v>
      </c>
      <c r="I110" s="69" t="s">
        <v>66</v>
      </c>
      <c r="J110" s="56">
        <v>42607</v>
      </c>
      <c r="K110" s="48">
        <v>8</v>
      </c>
      <c r="L110" s="57">
        <v>0.7</v>
      </c>
      <c r="M110" s="55">
        <f t="shared" si="23"/>
        <v>12956.785833333333</v>
      </c>
      <c r="N110" s="26">
        <f t="shared" si="5"/>
        <v>9069.7500833333324</v>
      </c>
      <c r="P110" s="53">
        <v>0.25</v>
      </c>
      <c r="Q110" s="53">
        <v>0.25</v>
      </c>
      <c r="R110" s="53">
        <v>0.25</v>
      </c>
      <c r="S110" s="53">
        <v>0.25</v>
      </c>
      <c r="T110" s="53">
        <v>0</v>
      </c>
      <c r="U110" s="28">
        <f t="shared" si="6"/>
        <v>1</v>
      </c>
      <c r="W110" s="54">
        <f t="shared" si="17"/>
        <v>2267.4375208333331</v>
      </c>
      <c r="X110" s="54">
        <f t="shared" si="18"/>
        <v>2267.4375208333331</v>
      </c>
      <c r="Y110" s="54">
        <f t="shared" si="19"/>
        <v>2267.4375208333331</v>
      </c>
      <c r="Z110" s="54">
        <f t="shared" si="20"/>
        <v>2267.4375208333331</v>
      </c>
      <c r="AA110" s="54">
        <f t="shared" si="21"/>
        <v>0</v>
      </c>
    </row>
    <row r="111" spans="1:27" s="52" customFormat="1" ht="12.75" hidden="1" x14ac:dyDescent="0.2">
      <c r="A111" s="20" t="s">
        <v>321</v>
      </c>
      <c r="B111" s="48">
        <v>40</v>
      </c>
      <c r="C111" s="21">
        <v>104</v>
      </c>
      <c r="D111" s="55">
        <f t="shared" si="22"/>
        <v>12956.785833333333</v>
      </c>
      <c r="E111" s="46" t="s">
        <v>32</v>
      </c>
      <c r="F111" s="46" t="s">
        <v>324</v>
      </c>
      <c r="G111" s="46" t="s">
        <v>325</v>
      </c>
      <c r="H111" s="46" t="s">
        <v>326</v>
      </c>
      <c r="I111" s="69" t="s">
        <v>66</v>
      </c>
      <c r="J111" s="56">
        <v>42640</v>
      </c>
      <c r="K111" s="48">
        <v>9</v>
      </c>
      <c r="L111" s="57">
        <v>0.7</v>
      </c>
      <c r="M111" s="55">
        <f t="shared" si="23"/>
        <v>12956.785833333333</v>
      </c>
      <c r="N111" s="26">
        <f t="shared" si="5"/>
        <v>9069.7500833333324</v>
      </c>
      <c r="P111" s="53">
        <v>0.25</v>
      </c>
      <c r="Q111" s="53">
        <v>0.25</v>
      </c>
      <c r="R111" s="53">
        <v>0.25</v>
      </c>
      <c r="S111" s="53">
        <v>0.25</v>
      </c>
      <c r="T111" s="53">
        <v>0</v>
      </c>
      <c r="U111" s="28">
        <f t="shared" si="6"/>
        <v>1</v>
      </c>
      <c r="W111" s="54">
        <f t="shared" si="17"/>
        <v>2267.4375208333331</v>
      </c>
      <c r="X111" s="54">
        <f t="shared" si="18"/>
        <v>2267.4375208333331</v>
      </c>
      <c r="Y111" s="54">
        <f t="shared" si="19"/>
        <v>2267.4375208333331</v>
      </c>
      <c r="Z111" s="54">
        <f t="shared" si="20"/>
        <v>2267.4375208333331</v>
      </c>
      <c r="AA111" s="54">
        <f t="shared" si="21"/>
        <v>0</v>
      </c>
    </row>
    <row r="112" spans="1:27" s="52" customFormat="1" ht="12.75" hidden="1" x14ac:dyDescent="0.2">
      <c r="A112" s="20" t="s">
        <v>321</v>
      </c>
      <c r="B112" s="48">
        <v>41</v>
      </c>
      <c r="C112" s="21">
        <v>105</v>
      </c>
      <c r="D112" s="55">
        <f t="shared" si="22"/>
        <v>12956.785833333333</v>
      </c>
      <c r="E112" s="46" t="s">
        <v>32</v>
      </c>
      <c r="F112" s="46" t="s">
        <v>324</v>
      </c>
      <c r="G112" s="46" t="s">
        <v>325</v>
      </c>
      <c r="H112" s="46" t="s">
        <v>326</v>
      </c>
      <c r="I112" s="69" t="s">
        <v>66</v>
      </c>
      <c r="J112" s="56">
        <v>42671</v>
      </c>
      <c r="K112" s="48">
        <v>10</v>
      </c>
      <c r="L112" s="57">
        <v>0.7</v>
      </c>
      <c r="M112" s="55">
        <f t="shared" si="23"/>
        <v>12956.785833333333</v>
      </c>
      <c r="N112" s="26">
        <f t="shared" si="5"/>
        <v>9069.7500833333324</v>
      </c>
      <c r="P112" s="53">
        <v>0.25</v>
      </c>
      <c r="Q112" s="53">
        <v>0.25</v>
      </c>
      <c r="R112" s="53">
        <v>0.25</v>
      </c>
      <c r="S112" s="53">
        <v>0.25</v>
      </c>
      <c r="T112" s="53">
        <v>0</v>
      </c>
      <c r="U112" s="28">
        <f t="shared" si="6"/>
        <v>1</v>
      </c>
      <c r="W112" s="54">
        <f t="shared" si="17"/>
        <v>2267.4375208333331</v>
      </c>
      <c r="X112" s="54">
        <f t="shared" si="18"/>
        <v>2267.4375208333331</v>
      </c>
      <c r="Y112" s="54">
        <f t="shared" si="19"/>
        <v>2267.4375208333331</v>
      </c>
      <c r="Z112" s="54">
        <f t="shared" si="20"/>
        <v>2267.4375208333331</v>
      </c>
      <c r="AA112" s="54">
        <f t="shared" si="21"/>
        <v>0</v>
      </c>
    </row>
    <row r="113" spans="1:27" s="52" customFormat="1" ht="12.75" hidden="1" x14ac:dyDescent="0.2">
      <c r="A113" s="20" t="s">
        <v>321</v>
      </c>
      <c r="B113" s="48">
        <v>42</v>
      </c>
      <c r="C113" s="21">
        <v>106</v>
      </c>
      <c r="D113" s="55">
        <f t="shared" si="22"/>
        <v>12956.785833333333</v>
      </c>
      <c r="E113" s="46" t="s">
        <v>32</v>
      </c>
      <c r="F113" s="46" t="s">
        <v>324</v>
      </c>
      <c r="G113" s="46" t="s">
        <v>325</v>
      </c>
      <c r="H113" s="46" t="s">
        <v>326</v>
      </c>
      <c r="I113" s="69" t="s">
        <v>66</v>
      </c>
      <c r="J113" s="56">
        <v>42702</v>
      </c>
      <c r="K113" s="48">
        <v>11</v>
      </c>
      <c r="L113" s="57">
        <v>0.7</v>
      </c>
      <c r="M113" s="55">
        <f t="shared" si="23"/>
        <v>12956.785833333333</v>
      </c>
      <c r="N113" s="26">
        <f t="shared" si="5"/>
        <v>9069.7500833333324</v>
      </c>
      <c r="P113" s="53">
        <v>0.25</v>
      </c>
      <c r="Q113" s="53">
        <v>0.25</v>
      </c>
      <c r="R113" s="53">
        <v>0.25</v>
      </c>
      <c r="S113" s="53">
        <v>0.25</v>
      </c>
      <c r="T113" s="53">
        <v>0</v>
      </c>
      <c r="U113" s="28">
        <f t="shared" si="6"/>
        <v>1</v>
      </c>
      <c r="W113" s="54">
        <f t="shared" si="17"/>
        <v>2267.4375208333331</v>
      </c>
      <c r="X113" s="54">
        <f t="shared" si="18"/>
        <v>2267.4375208333331</v>
      </c>
      <c r="Y113" s="54">
        <f t="shared" si="19"/>
        <v>2267.4375208333331</v>
      </c>
      <c r="Z113" s="54">
        <f t="shared" si="20"/>
        <v>2267.4375208333331</v>
      </c>
      <c r="AA113" s="54">
        <f t="shared" si="21"/>
        <v>0</v>
      </c>
    </row>
    <row r="114" spans="1:27" s="52" customFormat="1" ht="12.75" hidden="1" x14ac:dyDescent="0.2">
      <c r="A114" s="82" t="s">
        <v>321</v>
      </c>
      <c r="B114" s="83">
        <v>43</v>
      </c>
      <c r="C114" s="84">
        <v>107</v>
      </c>
      <c r="D114" s="85">
        <f t="shared" si="22"/>
        <v>12956.785833333333</v>
      </c>
      <c r="E114" s="86" t="s">
        <v>32</v>
      </c>
      <c r="F114" s="86" t="s">
        <v>324</v>
      </c>
      <c r="G114" s="86" t="s">
        <v>325</v>
      </c>
      <c r="H114" s="86" t="s">
        <v>326</v>
      </c>
      <c r="I114" s="87" t="s">
        <v>66</v>
      </c>
      <c r="J114" s="88">
        <v>42730</v>
      </c>
      <c r="K114" s="83">
        <v>12</v>
      </c>
      <c r="L114" s="89">
        <v>0.7</v>
      </c>
      <c r="M114" s="85">
        <f t="shared" si="23"/>
        <v>12956.785833333333</v>
      </c>
      <c r="N114" s="90">
        <f t="shared" si="5"/>
        <v>9069.7500833333324</v>
      </c>
      <c r="P114" s="53">
        <v>0.25</v>
      </c>
      <c r="Q114" s="53">
        <v>0.25</v>
      </c>
      <c r="R114" s="53">
        <v>0.25</v>
      </c>
      <c r="S114" s="53">
        <v>0.25</v>
      </c>
      <c r="T114" s="53">
        <v>0</v>
      </c>
      <c r="U114" s="28">
        <f t="shared" si="6"/>
        <v>1</v>
      </c>
      <c r="W114" s="81">
        <f t="shared" si="17"/>
        <v>2267.4375208333331</v>
      </c>
      <c r="X114" s="81">
        <f t="shared" si="18"/>
        <v>2267.4375208333331</v>
      </c>
      <c r="Y114" s="81">
        <f t="shared" si="19"/>
        <v>2267.4375208333331</v>
      </c>
      <c r="Z114" s="81">
        <f t="shared" si="20"/>
        <v>2267.4375208333331</v>
      </c>
      <c r="AA114" s="81">
        <f t="shared" si="21"/>
        <v>0</v>
      </c>
    </row>
    <row r="115" spans="1:27" x14ac:dyDescent="0.25">
      <c r="W115" s="79">
        <f>SUM(W8:W114)</f>
        <v>91244.944691666708</v>
      </c>
      <c r="X115" s="79">
        <f t="shared" ref="X115:AA115" si="24">SUM(X8:X114)</f>
        <v>44632.384264726672</v>
      </c>
      <c r="Y115" s="79">
        <f t="shared" si="24"/>
        <v>62342.615375000038</v>
      </c>
      <c r="Z115" s="79">
        <f t="shared" si="24"/>
        <v>42963.785408333337</v>
      </c>
      <c r="AA115" s="79">
        <f t="shared" si="24"/>
        <v>32162.459999999995</v>
      </c>
    </row>
    <row r="116" spans="1:27" x14ac:dyDescent="0.25">
      <c r="W116" s="138">
        <f>SUM(W115:AA115)</f>
        <v>273346.18973972677</v>
      </c>
      <c r="X116" s="138"/>
      <c r="Y116" s="138"/>
      <c r="Z116" s="138"/>
      <c r="AA116" s="138"/>
    </row>
    <row r="118" spans="1:27" x14ac:dyDescent="0.25">
      <c r="W118" s="99"/>
      <c r="X118" s="99"/>
      <c r="Y118" s="99"/>
      <c r="Z118" s="99"/>
    </row>
  </sheetData>
  <autoFilter ref="A7:AB114">
    <filterColumn colId="8">
      <filters>
        <filter val="Material"/>
      </filters>
    </filterColumn>
  </autoFilter>
  <mergeCells count="3">
    <mergeCell ref="P6:T6"/>
    <mergeCell ref="W6:AA6"/>
    <mergeCell ref="W116:AA116"/>
  </mergeCells>
  <pageMargins left="0.51181102362204722" right="0.51181102362204722" top="0.78740157480314965" bottom="0.78740157480314965" header="0.31496062992125984" footer="0.31496062992125984"/>
  <pageSetup paperSize="9" scale="84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9"/>
    <pageSetUpPr fitToPage="1"/>
  </sheetPr>
  <dimension ref="A1:AB118"/>
  <sheetViews>
    <sheetView workbookViewId="0">
      <selection activeCell="B8" sqref="B8"/>
    </sheetView>
  </sheetViews>
  <sheetFormatPr defaultRowHeight="15" x14ac:dyDescent="0.25"/>
  <cols>
    <col min="1" max="1" width="18.5703125" style="5" customWidth="1"/>
    <col min="2" max="2" width="20.85546875" style="5" customWidth="1"/>
    <col min="3" max="3" width="14.28515625" style="5" bestFit="1" customWidth="1"/>
    <col min="4" max="4" width="13.5703125" style="5" hidden="1" customWidth="1"/>
    <col min="5" max="5" width="23.85546875" style="6" customWidth="1"/>
    <col min="6" max="6" width="20.42578125" style="6" hidden="1" customWidth="1"/>
    <col min="7" max="7" width="17.42578125" style="6" bestFit="1" customWidth="1"/>
    <col min="8" max="8" width="44.85546875" style="6" customWidth="1"/>
    <col min="9" max="9" width="10.140625" style="6" hidden="1" customWidth="1"/>
    <col min="10" max="10" width="11" style="5" bestFit="1" customWidth="1"/>
    <col min="11" max="11" width="4.42578125" style="5" customWidth="1"/>
    <col min="12" max="12" width="5.85546875" style="5" bestFit="1" customWidth="1"/>
    <col min="13" max="13" width="11.140625" style="5" bestFit="1" customWidth="1"/>
    <col min="14" max="14" width="15.7109375" style="5" bestFit="1" customWidth="1"/>
    <col min="15" max="15" width="10" style="5" hidden="1" customWidth="1"/>
    <col min="16" max="16" width="15.28515625" style="5" hidden="1" customWidth="1"/>
    <col min="17" max="17" width="21" style="5" hidden="1" customWidth="1"/>
    <col min="18" max="18" width="19.42578125" style="5" hidden="1" customWidth="1"/>
    <col min="19" max="19" width="19.85546875" style="5" hidden="1" customWidth="1"/>
    <col min="20" max="20" width="5.7109375" style="5" hidden="1" customWidth="1"/>
    <col min="21" max="21" width="6.42578125" style="5" hidden="1" customWidth="1"/>
    <col min="22" max="22" width="0" style="5" hidden="1" customWidth="1"/>
    <col min="23" max="23" width="12.85546875" style="5" customWidth="1"/>
    <col min="24" max="26" width="13.140625" style="5" customWidth="1"/>
    <col min="27" max="27" width="12.85546875" style="5" bestFit="1" customWidth="1"/>
    <col min="28" max="28" width="14" style="5" bestFit="1" customWidth="1"/>
    <col min="29" max="16384" width="9.140625" style="5"/>
  </cols>
  <sheetData>
    <row r="1" spans="1:28" ht="26.25" x14ac:dyDescent="0.4">
      <c r="A1" s="1" t="s">
        <v>373</v>
      </c>
    </row>
    <row r="2" spans="1:28" ht="26.25" x14ac:dyDescent="0.4">
      <c r="A2" s="1" t="s">
        <v>375</v>
      </c>
    </row>
    <row r="3" spans="1:28" x14ac:dyDescent="0.25">
      <c r="A3" s="5" t="s">
        <v>0</v>
      </c>
      <c r="I3" s="61"/>
      <c r="J3" s="62" t="s">
        <v>320</v>
      </c>
    </row>
    <row r="4" spans="1:28" s="52" customFormat="1" ht="12.75" hidden="1" x14ac:dyDescent="0.2">
      <c r="E4" s="58"/>
      <c r="F4" s="58"/>
      <c r="G4" s="58"/>
      <c r="H4" s="58"/>
      <c r="I4" s="59" t="s">
        <v>65</v>
      </c>
      <c r="J4" s="60">
        <f>SUMIF($I$8:$I$115,I4,$N$8:$N$115)</f>
        <v>16180.070000000003</v>
      </c>
    </row>
    <row r="5" spans="1:28" s="52" customFormat="1" ht="12.75" hidden="1" x14ac:dyDescent="0.2">
      <c r="E5" s="58"/>
      <c r="F5" s="58"/>
      <c r="G5" s="58"/>
      <c r="H5" s="58"/>
      <c r="I5" s="59" t="s">
        <v>66</v>
      </c>
      <c r="J5" s="60">
        <f>SUMIF($I$8:$I$115,I5,$N$8:$N$115)</f>
        <v>257166.11973972683</v>
      </c>
      <c r="W5" s="80"/>
      <c r="X5" s="80"/>
      <c r="Y5" s="80"/>
      <c r="Z5" s="80"/>
      <c r="AA5" s="80"/>
      <c r="AB5" s="80"/>
    </row>
    <row r="6" spans="1:28" s="9" customFormat="1" ht="12.75" x14ac:dyDescent="0.2">
      <c r="A6" s="8"/>
      <c r="D6" s="10">
        <f>SUBTOTAL(9,D8:D114)</f>
        <v>632430.95166666713</v>
      </c>
      <c r="E6" s="11"/>
      <c r="F6" s="11"/>
      <c r="G6" s="11"/>
      <c r="H6" s="12"/>
      <c r="I6" s="12"/>
      <c r="M6" s="80"/>
      <c r="N6" s="10">
        <f>SUBTOTAL(9,N8:N114)</f>
        <v>257166.11973972683</v>
      </c>
      <c r="O6" s="7"/>
      <c r="P6" s="137" t="s">
        <v>73</v>
      </c>
      <c r="Q6" s="137"/>
      <c r="R6" s="137"/>
      <c r="S6" s="137"/>
      <c r="T6" s="137"/>
      <c r="U6" s="13">
        <f>SUM(U8:U90)/COUNT(U8:U90)</f>
        <v>1</v>
      </c>
      <c r="W6" s="137" t="s">
        <v>74</v>
      </c>
      <c r="X6" s="137"/>
      <c r="Y6" s="137"/>
      <c r="Z6" s="137"/>
      <c r="AA6" s="137"/>
    </row>
    <row r="7" spans="1:28" s="18" customFormat="1" ht="12.75" x14ac:dyDescent="0.2">
      <c r="A7" s="140" t="s">
        <v>376</v>
      </c>
      <c r="B7" s="141" t="s">
        <v>76</v>
      </c>
      <c r="C7" s="141" t="s">
        <v>77</v>
      </c>
      <c r="D7" s="15" t="s">
        <v>78</v>
      </c>
      <c r="E7" s="141" t="s">
        <v>79</v>
      </c>
      <c r="F7" s="14" t="s">
        <v>80</v>
      </c>
      <c r="G7" s="141" t="s">
        <v>81</v>
      </c>
      <c r="H7" s="141" t="s">
        <v>82</v>
      </c>
      <c r="I7" s="14" t="s">
        <v>83</v>
      </c>
      <c r="J7" s="141" t="s">
        <v>84</v>
      </c>
      <c r="K7" s="141" t="s">
        <v>85</v>
      </c>
      <c r="L7" s="141" t="s">
        <v>86</v>
      </c>
      <c r="M7" s="142" t="s">
        <v>87</v>
      </c>
      <c r="N7" s="141" t="s">
        <v>88</v>
      </c>
      <c r="O7" s="16"/>
      <c r="P7" s="17" t="s">
        <v>89</v>
      </c>
      <c r="Q7" s="17" t="s">
        <v>90</v>
      </c>
      <c r="R7" s="17" t="s">
        <v>91</v>
      </c>
      <c r="S7" s="17" t="s">
        <v>92</v>
      </c>
      <c r="T7" s="17" t="s">
        <v>93</v>
      </c>
      <c r="U7" s="17" t="s">
        <v>67</v>
      </c>
      <c r="W7" s="143" t="s">
        <v>89</v>
      </c>
      <c r="X7" s="143" t="s">
        <v>90</v>
      </c>
      <c r="Y7" s="143" t="s">
        <v>91</v>
      </c>
      <c r="Z7" s="143" t="s">
        <v>92</v>
      </c>
      <c r="AA7" s="143" t="s">
        <v>93</v>
      </c>
    </row>
    <row r="8" spans="1:28" s="21" customFormat="1" ht="12.75" x14ac:dyDescent="0.2">
      <c r="A8" s="20" t="s">
        <v>94</v>
      </c>
      <c r="B8" s="21">
        <v>34840</v>
      </c>
      <c r="C8" s="21">
        <v>1</v>
      </c>
      <c r="D8" s="22">
        <v>1303.4000000000001</v>
      </c>
      <c r="E8" s="23" t="s">
        <v>95</v>
      </c>
      <c r="F8" s="23" t="s">
        <v>96</v>
      </c>
      <c r="G8" s="23" t="s">
        <v>97</v>
      </c>
      <c r="H8" s="23" t="s">
        <v>98</v>
      </c>
      <c r="I8" s="23" t="s">
        <v>66</v>
      </c>
      <c r="J8" s="24">
        <v>42500</v>
      </c>
      <c r="K8" s="21">
        <v>5</v>
      </c>
      <c r="L8" s="25">
        <v>1</v>
      </c>
      <c r="M8" s="22">
        <v>1303.4000000000001</v>
      </c>
      <c r="N8" s="155">
        <f>M8*L8</f>
        <v>1303.4000000000001</v>
      </c>
      <c r="O8" s="7"/>
      <c r="P8" s="27">
        <v>0.5</v>
      </c>
      <c r="Q8" s="27">
        <v>0</v>
      </c>
      <c r="R8" s="27">
        <v>0</v>
      </c>
      <c r="S8" s="27">
        <v>0.5</v>
      </c>
      <c r="T8" s="27">
        <v>0</v>
      </c>
      <c r="U8" s="28">
        <f>SUM(P8:T8)</f>
        <v>1</v>
      </c>
      <c r="W8" s="156">
        <f>$N8*P8</f>
        <v>651.70000000000005</v>
      </c>
      <c r="X8" s="156">
        <f t="shared" ref="X8:AA23" si="0">$N8*Q8</f>
        <v>0</v>
      </c>
      <c r="Y8" s="156">
        <f t="shared" si="0"/>
        <v>0</v>
      </c>
      <c r="Z8" s="156">
        <f t="shared" si="0"/>
        <v>651.70000000000005</v>
      </c>
      <c r="AA8" s="156">
        <f t="shared" si="0"/>
        <v>0</v>
      </c>
    </row>
    <row r="9" spans="1:28" s="21" customFormat="1" ht="12.75" hidden="1" x14ac:dyDescent="0.2">
      <c r="A9" s="20" t="s">
        <v>99</v>
      </c>
      <c r="B9" s="21" t="s">
        <v>100</v>
      </c>
      <c r="C9" s="21">
        <v>2</v>
      </c>
      <c r="D9" s="22">
        <v>579.24</v>
      </c>
      <c r="E9" s="23" t="s">
        <v>11</v>
      </c>
      <c r="F9" s="23" t="s">
        <v>101</v>
      </c>
      <c r="G9" s="23"/>
      <c r="H9" s="23" t="s">
        <v>102</v>
      </c>
      <c r="I9" s="23" t="s">
        <v>65</v>
      </c>
      <c r="J9" s="24">
        <v>42641</v>
      </c>
      <c r="K9" s="21">
        <v>9</v>
      </c>
      <c r="L9" s="25">
        <v>1</v>
      </c>
      <c r="M9" s="22">
        <v>579.24</v>
      </c>
      <c r="N9" s="26">
        <f t="shared" ref="N9:N72" si="1">M9*L9</f>
        <v>579.24</v>
      </c>
      <c r="O9" s="7"/>
      <c r="P9" s="27">
        <v>1</v>
      </c>
      <c r="Q9" s="27">
        <v>0</v>
      </c>
      <c r="R9" s="27">
        <v>0</v>
      </c>
      <c r="S9" s="27">
        <v>0</v>
      </c>
      <c r="T9" s="27">
        <v>0</v>
      </c>
      <c r="U9" s="28">
        <f t="shared" ref="U9:U72" si="2">SUM(P9:T9)</f>
        <v>1</v>
      </c>
      <c r="W9" s="29">
        <f t="shared" ref="W9:AA71" si="3">$N9*P9</f>
        <v>579.24</v>
      </c>
      <c r="X9" s="29">
        <f t="shared" si="0"/>
        <v>0</v>
      </c>
      <c r="Y9" s="29">
        <f t="shared" si="0"/>
        <v>0</v>
      </c>
      <c r="Z9" s="29">
        <f t="shared" si="0"/>
        <v>0</v>
      </c>
      <c r="AA9" s="29">
        <f t="shared" si="0"/>
        <v>0</v>
      </c>
    </row>
    <row r="10" spans="1:28" s="21" customFormat="1" ht="12.75" hidden="1" x14ac:dyDescent="0.2">
      <c r="A10" s="20" t="s">
        <v>103</v>
      </c>
      <c r="B10" s="44"/>
      <c r="C10" s="64">
        <v>2</v>
      </c>
      <c r="D10" s="65">
        <v>138.01</v>
      </c>
      <c r="E10" s="66" t="s">
        <v>11</v>
      </c>
      <c r="F10" s="66" t="s">
        <v>104</v>
      </c>
      <c r="G10" s="66"/>
      <c r="H10" s="66" t="s">
        <v>105</v>
      </c>
      <c r="I10" s="66" t="s">
        <v>65</v>
      </c>
      <c r="J10" s="67">
        <v>42641</v>
      </c>
      <c r="K10" s="64">
        <v>9</v>
      </c>
      <c r="L10" s="68">
        <v>1</v>
      </c>
      <c r="M10" s="65">
        <v>138.01</v>
      </c>
      <c r="N10" s="26">
        <f t="shared" si="1"/>
        <v>138.01</v>
      </c>
      <c r="O10" s="63"/>
      <c r="P10" s="27">
        <v>1</v>
      </c>
      <c r="Q10" s="27">
        <v>0</v>
      </c>
      <c r="R10" s="27">
        <v>0</v>
      </c>
      <c r="S10" s="27">
        <v>0</v>
      </c>
      <c r="T10" s="27">
        <v>0</v>
      </c>
      <c r="U10" s="28">
        <f t="shared" si="2"/>
        <v>1</v>
      </c>
      <c r="W10" s="29">
        <f t="shared" si="3"/>
        <v>138.01</v>
      </c>
      <c r="X10" s="29">
        <f t="shared" si="0"/>
        <v>0</v>
      </c>
      <c r="Y10" s="29">
        <f t="shared" si="0"/>
        <v>0</v>
      </c>
      <c r="Z10" s="29">
        <f t="shared" si="0"/>
        <v>0</v>
      </c>
      <c r="AA10" s="29">
        <f t="shared" si="0"/>
        <v>0</v>
      </c>
    </row>
    <row r="11" spans="1:28" s="21" customFormat="1" ht="12.75" x14ac:dyDescent="0.2">
      <c r="A11" s="20" t="s">
        <v>94</v>
      </c>
      <c r="B11" s="21">
        <v>98</v>
      </c>
      <c r="C11" s="21">
        <v>4</v>
      </c>
      <c r="D11" s="22">
        <v>12042</v>
      </c>
      <c r="E11" s="23" t="s">
        <v>11</v>
      </c>
      <c r="F11" s="23" t="s">
        <v>106</v>
      </c>
      <c r="G11" s="23" t="s">
        <v>107</v>
      </c>
      <c r="H11" s="23" t="s">
        <v>108</v>
      </c>
      <c r="I11" s="23" t="s">
        <v>66</v>
      </c>
      <c r="J11" s="24">
        <v>42628</v>
      </c>
      <c r="K11" s="21">
        <v>9</v>
      </c>
      <c r="L11" s="25">
        <v>1</v>
      </c>
      <c r="M11" s="22">
        <v>12042</v>
      </c>
      <c r="N11" s="155">
        <f t="shared" si="1"/>
        <v>12042</v>
      </c>
      <c r="O11" s="7"/>
      <c r="P11" s="27">
        <v>1</v>
      </c>
      <c r="Q11" s="27">
        <v>0</v>
      </c>
      <c r="R11" s="27">
        <v>0</v>
      </c>
      <c r="S11" s="27">
        <v>0</v>
      </c>
      <c r="T11" s="27">
        <v>0</v>
      </c>
      <c r="U11" s="28">
        <f t="shared" si="2"/>
        <v>1</v>
      </c>
      <c r="W11" s="156">
        <f t="shared" si="3"/>
        <v>12042</v>
      </c>
      <c r="X11" s="156">
        <f t="shared" si="0"/>
        <v>0</v>
      </c>
      <c r="Y11" s="156">
        <f t="shared" si="0"/>
        <v>0</v>
      </c>
      <c r="Z11" s="156">
        <f t="shared" si="0"/>
        <v>0</v>
      </c>
      <c r="AA11" s="156">
        <f t="shared" si="0"/>
        <v>0</v>
      </c>
    </row>
    <row r="12" spans="1:28" s="21" customFormat="1" ht="12.75" hidden="1" x14ac:dyDescent="0.2">
      <c r="A12" s="20" t="s">
        <v>94</v>
      </c>
      <c r="B12" s="21">
        <v>11849</v>
      </c>
      <c r="C12" s="21">
        <v>5</v>
      </c>
      <c r="D12" s="22">
        <v>877.5</v>
      </c>
      <c r="E12" s="23" t="s">
        <v>11</v>
      </c>
      <c r="F12" s="23" t="s">
        <v>109</v>
      </c>
      <c r="G12" s="23" t="s">
        <v>110</v>
      </c>
      <c r="H12" s="66" t="s">
        <v>11</v>
      </c>
      <c r="I12" s="123" t="s">
        <v>65</v>
      </c>
      <c r="J12" s="24">
        <v>42529</v>
      </c>
      <c r="K12" s="21">
        <v>6</v>
      </c>
      <c r="L12" s="25">
        <v>1</v>
      </c>
      <c r="M12" s="22">
        <v>877.5</v>
      </c>
      <c r="N12" s="26">
        <f t="shared" si="1"/>
        <v>877.5</v>
      </c>
      <c r="O12" s="7"/>
      <c r="P12" s="27">
        <v>1</v>
      </c>
      <c r="Q12" s="27">
        <v>0</v>
      </c>
      <c r="R12" s="27">
        <v>0</v>
      </c>
      <c r="S12" s="27">
        <v>0</v>
      </c>
      <c r="T12" s="27">
        <v>0</v>
      </c>
      <c r="U12" s="28">
        <f t="shared" si="2"/>
        <v>1</v>
      </c>
      <c r="W12" s="29">
        <f t="shared" si="3"/>
        <v>877.5</v>
      </c>
      <c r="X12" s="29">
        <f t="shared" si="0"/>
        <v>0</v>
      </c>
      <c r="Y12" s="29">
        <f t="shared" si="0"/>
        <v>0</v>
      </c>
      <c r="Z12" s="29">
        <f t="shared" si="0"/>
        <v>0</v>
      </c>
      <c r="AA12" s="29">
        <f t="shared" si="0"/>
        <v>0</v>
      </c>
    </row>
    <row r="13" spans="1:28" s="21" customFormat="1" ht="12.75" x14ac:dyDescent="0.2">
      <c r="A13" s="20" t="s">
        <v>94</v>
      </c>
      <c r="B13" s="21">
        <v>9354</v>
      </c>
      <c r="C13" s="21">
        <v>6</v>
      </c>
      <c r="D13" s="22">
        <v>1230</v>
      </c>
      <c r="E13" s="23" t="s">
        <v>11</v>
      </c>
      <c r="F13" s="23" t="s">
        <v>112</v>
      </c>
      <c r="G13" s="23" t="s">
        <v>113</v>
      </c>
      <c r="H13" s="23" t="s">
        <v>114</v>
      </c>
      <c r="I13" s="23" t="s">
        <v>66</v>
      </c>
      <c r="J13" s="24">
        <v>42587</v>
      </c>
      <c r="K13" s="21">
        <v>8</v>
      </c>
      <c r="L13" s="25">
        <v>1</v>
      </c>
      <c r="M13" s="22">
        <v>1230</v>
      </c>
      <c r="N13" s="155">
        <f t="shared" si="1"/>
        <v>1230</v>
      </c>
      <c r="O13" s="7"/>
      <c r="P13" s="27">
        <v>1</v>
      </c>
      <c r="Q13" s="27">
        <v>0</v>
      </c>
      <c r="R13" s="27">
        <v>0</v>
      </c>
      <c r="S13" s="27">
        <v>0</v>
      </c>
      <c r="T13" s="27">
        <v>0</v>
      </c>
      <c r="U13" s="28">
        <f t="shared" si="2"/>
        <v>1</v>
      </c>
      <c r="W13" s="156">
        <f t="shared" si="3"/>
        <v>1230</v>
      </c>
      <c r="X13" s="156">
        <f t="shared" si="0"/>
        <v>0</v>
      </c>
      <c r="Y13" s="156">
        <f t="shared" si="0"/>
        <v>0</v>
      </c>
      <c r="Z13" s="156">
        <f t="shared" si="0"/>
        <v>0</v>
      </c>
      <c r="AA13" s="156">
        <f t="shared" si="0"/>
        <v>0</v>
      </c>
    </row>
    <row r="14" spans="1:28" s="21" customFormat="1" ht="12.75" x14ac:dyDescent="0.2">
      <c r="A14" s="20" t="s">
        <v>94</v>
      </c>
      <c r="B14" s="21">
        <v>81028</v>
      </c>
      <c r="C14" s="21">
        <v>7</v>
      </c>
      <c r="D14" s="22">
        <v>2401</v>
      </c>
      <c r="E14" s="23" t="s">
        <v>11</v>
      </c>
      <c r="F14" s="23" t="s">
        <v>115</v>
      </c>
      <c r="G14" s="23" t="s">
        <v>116</v>
      </c>
      <c r="H14" s="23" t="s">
        <v>117</v>
      </c>
      <c r="I14" s="23" t="s">
        <v>66</v>
      </c>
      <c r="J14" s="24">
        <v>42565</v>
      </c>
      <c r="K14" s="21">
        <v>7</v>
      </c>
      <c r="L14" s="25">
        <v>1</v>
      </c>
      <c r="M14" s="22">
        <v>2401</v>
      </c>
      <c r="N14" s="155">
        <f t="shared" si="1"/>
        <v>2401</v>
      </c>
      <c r="O14" s="7"/>
      <c r="P14" s="27">
        <v>1</v>
      </c>
      <c r="Q14" s="27">
        <v>0</v>
      </c>
      <c r="R14" s="27">
        <v>0</v>
      </c>
      <c r="S14" s="27">
        <v>0</v>
      </c>
      <c r="T14" s="27">
        <v>0</v>
      </c>
      <c r="U14" s="28">
        <f t="shared" si="2"/>
        <v>1</v>
      </c>
      <c r="W14" s="156">
        <f t="shared" si="3"/>
        <v>2401</v>
      </c>
      <c r="X14" s="156">
        <f t="shared" si="0"/>
        <v>0</v>
      </c>
      <c r="Y14" s="156">
        <f t="shared" si="0"/>
        <v>0</v>
      </c>
      <c r="Z14" s="156">
        <f t="shared" si="0"/>
        <v>0</v>
      </c>
      <c r="AA14" s="156">
        <f t="shared" si="0"/>
        <v>0</v>
      </c>
    </row>
    <row r="15" spans="1:28" s="30" customFormat="1" ht="12.75" x14ac:dyDescent="0.2">
      <c r="A15" s="20" t="s">
        <v>94</v>
      </c>
      <c r="B15" s="21">
        <v>81357</v>
      </c>
      <c r="C15" s="21">
        <v>8</v>
      </c>
      <c r="D15" s="22">
        <v>2401</v>
      </c>
      <c r="E15" s="23" t="s">
        <v>11</v>
      </c>
      <c r="F15" s="23" t="s">
        <v>115</v>
      </c>
      <c r="G15" s="23" t="s">
        <v>116</v>
      </c>
      <c r="H15" s="23" t="s">
        <v>117</v>
      </c>
      <c r="I15" s="23" t="s">
        <v>66</v>
      </c>
      <c r="J15" s="24">
        <v>42585</v>
      </c>
      <c r="K15" s="21">
        <v>8</v>
      </c>
      <c r="L15" s="25">
        <v>1</v>
      </c>
      <c r="M15" s="22">
        <v>2401</v>
      </c>
      <c r="N15" s="155">
        <f t="shared" si="1"/>
        <v>2401</v>
      </c>
      <c r="O15" s="7"/>
      <c r="P15" s="27">
        <v>1</v>
      </c>
      <c r="Q15" s="27">
        <v>0</v>
      </c>
      <c r="R15" s="27">
        <v>0</v>
      </c>
      <c r="S15" s="27">
        <v>0</v>
      </c>
      <c r="T15" s="27">
        <v>0</v>
      </c>
      <c r="U15" s="28">
        <f t="shared" si="2"/>
        <v>1</v>
      </c>
      <c r="V15" s="21"/>
      <c r="W15" s="156">
        <f t="shared" si="3"/>
        <v>2401</v>
      </c>
      <c r="X15" s="156">
        <f t="shared" si="0"/>
        <v>0</v>
      </c>
      <c r="Y15" s="156">
        <f t="shared" si="0"/>
        <v>0</v>
      </c>
      <c r="Z15" s="156">
        <f t="shared" si="0"/>
        <v>0</v>
      </c>
      <c r="AA15" s="156">
        <f t="shared" si="0"/>
        <v>0</v>
      </c>
    </row>
    <row r="16" spans="1:28" s="30" customFormat="1" ht="12.75" hidden="1" x14ac:dyDescent="0.2">
      <c r="A16" s="20" t="s">
        <v>94</v>
      </c>
      <c r="B16" s="21">
        <v>38</v>
      </c>
      <c r="C16" s="21">
        <v>9</v>
      </c>
      <c r="D16" s="22">
        <v>1000</v>
      </c>
      <c r="E16" s="23" t="s">
        <v>11</v>
      </c>
      <c r="F16" s="23" t="s">
        <v>118</v>
      </c>
      <c r="G16" s="23" t="s">
        <v>119</v>
      </c>
      <c r="H16" s="66" t="s">
        <v>11</v>
      </c>
      <c r="I16" s="123" t="s">
        <v>65</v>
      </c>
      <c r="J16" s="24">
        <v>42611</v>
      </c>
      <c r="K16" s="21">
        <v>8</v>
      </c>
      <c r="L16" s="25">
        <v>1</v>
      </c>
      <c r="M16" s="22">
        <v>1000</v>
      </c>
      <c r="N16" s="26">
        <f t="shared" si="1"/>
        <v>1000</v>
      </c>
      <c r="O16" s="7"/>
      <c r="P16" s="27">
        <v>1</v>
      </c>
      <c r="Q16" s="27">
        <v>0</v>
      </c>
      <c r="R16" s="27">
        <v>0</v>
      </c>
      <c r="S16" s="27">
        <v>0</v>
      </c>
      <c r="T16" s="27">
        <v>0</v>
      </c>
      <c r="U16" s="28">
        <f t="shared" si="2"/>
        <v>1</v>
      </c>
      <c r="V16" s="21"/>
      <c r="W16" s="29">
        <f t="shared" si="3"/>
        <v>1000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</row>
    <row r="17" spans="1:27" s="30" customFormat="1" ht="12.75" hidden="1" x14ac:dyDescent="0.2">
      <c r="A17" s="20" t="s">
        <v>94</v>
      </c>
      <c r="B17" s="21">
        <v>48</v>
      </c>
      <c r="C17" s="21">
        <v>10</v>
      </c>
      <c r="D17" s="22">
        <v>89</v>
      </c>
      <c r="E17" s="23" t="s">
        <v>11</v>
      </c>
      <c r="F17" s="23" t="s">
        <v>118</v>
      </c>
      <c r="G17" s="23" t="s">
        <v>119</v>
      </c>
      <c r="H17" s="66" t="s">
        <v>11</v>
      </c>
      <c r="I17" s="123" t="s">
        <v>65</v>
      </c>
      <c r="J17" s="24">
        <v>42654</v>
      </c>
      <c r="K17" s="21">
        <v>10</v>
      </c>
      <c r="L17" s="25">
        <v>1</v>
      </c>
      <c r="M17" s="22">
        <v>89</v>
      </c>
      <c r="N17" s="26">
        <f t="shared" si="1"/>
        <v>89</v>
      </c>
      <c r="O17" s="7"/>
      <c r="P17" s="27">
        <v>1</v>
      </c>
      <c r="Q17" s="27">
        <v>0</v>
      </c>
      <c r="R17" s="27">
        <v>0</v>
      </c>
      <c r="S17" s="27">
        <v>0</v>
      </c>
      <c r="T17" s="27">
        <v>0</v>
      </c>
      <c r="U17" s="28">
        <f t="shared" si="2"/>
        <v>1</v>
      </c>
      <c r="V17" s="21"/>
      <c r="W17" s="29">
        <f t="shared" si="3"/>
        <v>89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29">
        <f t="shared" si="0"/>
        <v>0</v>
      </c>
    </row>
    <row r="18" spans="1:27" s="30" customFormat="1" ht="12.75" x14ac:dyDescent="0.2">
      <c r="A18" s="20" t="s">
        <v>94</v>
      </c>
      <c r="B18" s="21">
        <v>80303</v>
      </c>
      <c r="C18" s="21">
        <v>11</v>
      </c>
      <c r="D18" s="22">
        <v>524</v>
      </c>
      <c r="E18" s="23" t="s">
        <v>11</v>
      </c>
      <c r="F18" s="23" t="s">
        <v>115</v>
      </c>
      <c r="G18" s="23" t="s">
        <v>116</v>
      </c>
      <c r="H18" s="23" t="s">
        <v>121</v>
      </c>
      <c r="I18" s="23" t="s">
        <v>66</v>
      </c>
      <c r="J18" s="24">
        <v>42541</v>
      </c>
      <c r="K18" s="21">
        <v>6</v>
      </c>
      <c r="L18" s="25">
        <v>1</v>
      </c>
      <c r="M18" s="22">
        <v>524</v>
      </c>
      <c r="N18" s="155">
        <f t="shared" si="1"/>
        <v>524</v>
      </c>
      <c r="O18" s="7"/>
      <c r="P18" s="27">
        <v>1</v>
      </c>
      <c r="Q18" s="27">
        <v>0</v>
      </c>
      <c r="R18" s="27">
        <v>0</v>
      </c>
      <c r="S18" s="27">
        <v>0</v>
      </c>
      <c r="T18" s="27">
        <v>0</v>
      </c>
      <c r="U18" s="28">
        <f t="shared" si="2"/>
        <v>1</v>
      </c>
      <c r="V18" s="21"/>
      <c r="W18" s="156">
        <f t="shared" si="3"/>
        <v>524</v>
      </c>
      <c r="X18" s="156">
        <f t="shared" si="0"/>
        <v>0</v>
      </c>
      <c r="Y18" s="156">
        <f t="shared" si="0"/>
        <v>0</v>
      </c>
      <c r="Z18" s="156">
        <f t="shared" si="0"/>
        <v>0</v>
      </c>
      <c r="AA18" s="156">
        <f t="shared" si="0"/>
        <v>0</v>
      </c>
    </row>
    <row r="19" spans="1:27" s="30" customFormat="1" ht="12.75" x14ac:dyDescent="0.2">
      <c r="A19" s="20" t="s">
        <v>94</v>
      </c>
      <c r="B19" s="21">
        <v>423</v>
      </c>
      <c r="C19" s="21">
        <v>12</v>
      </c>
      <c r="D19" s="22">
        <v>24000</v>
      </c>
      <c r="E19" s="23" t="s">
        <v>11</v>
      </c>
      <c r="F19" s="23" t="s">
        <v>122</v>
      </c>
      <c r="G19" s="23" t="s">
        <v>123</v>
      </c>
      <c r="H19" s="23" t="s">
        <v>124</v>
      </c>
      <c r="I19" s="23" t="s">
        <v>66</v>
      </c>
      <c r="J19" s="24">
        <v>42608</v>
      </c>
      <c r="K19" s="21">
        <v>8</v>
      </c>
      <c r="L19" s="25">
        <v>1</v>
      </c>
      <c r="M19" s="22">
        <v>24000</v>
      </c>
      <c r="N19" s="155">
        <f t="shared" si="1"/>
        <v>24000</v>
      </c>
      <c r="O19" s="7"/>
      <c r="P19" s="27">
        <v>1</v>
      </c>
      <c r="Q19" s="27">
        <v>0</v>
      </c>
      <c r="R19" s="27">
        <v>0</v>
      </c>
      <c r="S19" s="27">
        <v>0</v>
      </c>
      <c r="T19" s="27">
        <v>0</v>
      </c>
      <c r="U19" s="28">
        <f t="shared" si="2"/>
        <v>1</v>
      </c>
      <c r="V19" s="21"/>
      <c r="W19" s="156">
        <f t="shared" si="3"/>
        <v>24000</v>
      </c>
      <c r="X19" s="156">
        <f t="shared" si="0"/>
        <v>0</v>
      </c>
      <c r="Y19" s="156">
        <f t="shared" si="0"/>
        <v>0</v>
      </c>
      <c r="Z19" s="156">
        <f t="shared" si="0"/>
        <v>0</v>
      </c>
      <c r="AA19" s="156">
        <f t="shared" si="0"/>
        <v>0</v>
      </c>
    </row>
    <row r="20" spans="1:27" s="30" customFormat="1" ht="12.75" hidden="1" x14ac:dyDescent="0.2">
      <c r="A20" s="20" t="s">
        <v>94</v>
      </c>
      <c r="B20" s="21">
        <v>776332</v>
      </c>
      <c r="C20" s="21">
        <v>13</v>
      </c>
      <c r="D20" s="22">
        <v>105.6</v>
      </c>
      <c r="E20" s="23" t="s">
        <v>11</v>
      </c>
      <c r="F20" s="23" t="s">
        <v>125</v>
      </c>
      <c r="G20" s="23" t="s">
        <v>126</v>
      </c>
      <c r="H20" s="23" t="s">
        <v>127</v>
      </c>
      <c r="I20" s="123" t="s">
        <v>65</v>
      </c>
      <c r="J20" s="24">
        <v>42633</v>
      </c>
      <c r="K20" s="21">
        <v>9</v>
      </c>
      <c r="L20" s="25">
        <v>1</v>
      </c>
      <c r="M20" s="22">
        <v>105.6</v>
      </c>
      <c r="N20" s="26">
        <f t="shared" si="1"/>
        <v>105.6</v>
      </c>
      <c r="O20" s="7"/>
      <c r="P20" s="27">
        <v>1</v>
      </c>
      <c r="Q20" s="27">
        <v>0</v>
      </c>
      <c r="R20" s="27">
        <v>0</v>
      </c>
      <c r="S20" s="27">
        <v>0</v>
      </c>
      <c r="T20" s="27">
        <v>0</v>
      </c>
      <c r="U20" s="28">
        <f t="shared" si="2"/>
        <v>1</v>
      </c>
      <c r="V20" s="21"/>
      <c r="W20" s="29">
        <f t="shared" si="3"/>
        <v>105.6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29">
        <f t="shared" si="0"/>
        <v>0</v>
      </c>
    </row>
    <row r="21" spans="1:27" s="30" customFormat="1" ht="12.75" hidden="1" x14ac:dyDescent="0.2">
      <c r="A21" s="20" t="s">
        <v>94</v>
      </c>
      <c r="B21" s="21">
        <v>5270</v>
      </c>
      <c r="C21" s="21">
        <v>14</v>
      </c>
      <c r="D21" s="22">
        <v>1323.55</v>
      </c>
      <c r="E21" s="23" t="s">
        <v>11</v>
      </c>
      <c r="F21" s="23" t="s">
        <v>128</v>
      </c>
      <c r="G21" s="23" t="s">
        <v>129</v>
      </c>
      <c r="H21" s="23" t="s">
        <v>130</v>
      </c>
      <c r="I21" s="123" t="s">
        <v>65</v>
      </c>
      <c r="J21" s="24">
        <v>42520</v>
      </c>
      <c r="K21" s="21">
        <v>5</v>
      </c>
      <c r="L21" s="25">
        <v>1</v>
      </c>
      <c r="M21" s="22">
        <v>1323.55</v>
      </c>
      <c r="N21" s="26">
        <f t="shared" si="1"/>
        <v>1323.55</v>
      </c>
      <c r="O21" s="7"/>
      <c r="P21" s="27">
        <v>1</v>
      </c>
      <c r="Q21" s="27">
        <v>0</v>
      </c>
      <c r="R21" s="27">
        <v>0</v>
      </c>
      <c r="S21" s="27">
        <v>0</v>
      </c>
      <c r="T21" s="27">
        <v>0</v>
      </c>
      <c r="U21" s="28">
        <f t="shared" si="2"/>
        <v>1</v>
      </c>
      <c r="V21" s="21"/>
      <c r="W21" s="29">
        <f t="shared" si="3"/>
        <v>1323.55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29">
        <f t="shared" si="0"/>
        <v>0</v>
      </c>
    </row>
    <row r="22" spans="1:27" s="30" customFormat="1" ht="12.75" hidden="1" x14ac:dyDescent="0.2">
      <c r="A22" s="20" t="s">
        <v>94</v>
      </c>
      <c r="B22" s="21">
        <v>6739</v>
      </c>
      <c r="C22" s="21">
        <v>15</v>
      </c>
      <c r="D22" s="22">
        <v>240</v>
      </c>
      <c r="E22" s="23" t="s">
        <v>18</v>
      </c>
      <c r="F22" s="23" t="s">
        <v>131</v>
      </c>
      <c r="G22" s="23" t="s">
        <v>132</v>
      </c>
      <c r="H22" s="23" t="s">
        <v>133</v>
      </c>
      <c r="I22" s="123" t="s">
        <v>65</v>
      </c>
      <c r="J22" s="24">
        <v>42675</v>
      </c>
      <c r="K22" s="21">
        <v>11</v>
      </c>
      <c r="L22" s="25">
        <v>1</v>
      </c>
      <c r="M22" s="22">
        <v>240</v>
      </c>
      <c r="N22" s="26">
        <f t="shared" si="1"/>
        <v>240</v>
      </c>
      <c r="O22" s="7"/>
      <c r="P22" s="27">
        <v>1</v>
      </c>
      <c r="Q22" s="27">
        <v>0</v>
      </c>
      <c r="R22" s="27">
        <v>0</v>
      </c>
      <c r="S22" s="27">
        <v>0</v>
      </c>
      <c r="T22" s="27">
        <v>0</v>
      </c>
      <c r="U22" s="28">
        <f t="shared" si="2"/>
        <v>1</v>
      </c>
      <c r="V22" s="21"/>
      <c r="W22" s="29">
        <f t="shared" si="3"/>
        <v>240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29">
        <f t="shared" si="0"/>
        <v>0</v>
      </c>
    </row>
    <row r="23" spans="1:27" s="30" customFormat="1" ht="12.75" hidden="1" x14ac:dyDescent="0.2">
      <c r="A23" s="20" t="s">
        <v>94</v>
      </c>
      <c r="B23" s="21">
        <v>3957</v>
      </c>
      <c r="C23" s="21">
        <v>16</v>
      </c>
      <c r="D23" s="22">
        <v>627.6</v>
      </c>
      <c r="E23" s="23" t="s">
        <v>134</v>
      </c>
      <c r="F23" s="23" t="s">
        <v>135</v>
      </c>
      <c r="G23" s="23" t="s">
        <v>136</v>
      </c>
      <c r="H23" s="23" t="s">
        <v>137</v>
      </c>
      <c r="I23" s="123" t="s">
        <v>65</v>
      </c>
      <c r="J23" s="24">
        <v>42639</v>
      </c>
      <c r="K23" s="21">
        <v>9</v>
      </c>
      <c r="L23" s="25">
        <v>1</v>
      </c>
      <c r="M23" s="22">
        <v>627.6</v>
      </c>
      <c r="N23" s="26">
        <f t="shared" si="1"/>
        <v>627.6</v>
      </c>
      <c r="O23" s="7"/>
      <c r="P23" s="27">
        <v>1</v>
      </c>
      <c r="Q23" s="27">
        <v>0</v>
      </c>
      <c r="R23" s="27">
        <v>0</v>
      </c>
      <c r="S23" s="27">
        <v>0</v>
      </c>
      <c r="T23" s="27">
        <v>0</v>
      </c>
      <c r="U23" s="28">
        <f t="shared" si="2"/>
        <v>1</v>
      </c>
      <c r="V23" s="21"/>
      <c r="W23" s="29">
        <f t="shared" si="3"/>
        <v>627.6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29">
        <f t="shared" si="0"/>
        <v>0</v>
      </c>
    </row>
    <row r="24" spans="1:27" s="30" customFormat="1" ht="12.75" hidden="1" x14ac:dyDescent="0.2">
      <c r="A24" s="20" t="s">
        <v>94</v>
      </c>
      <c r="B24" s="21">
        <v>2162</v>
      </c>
      <c r="C24" s="21">
        <v>17</v>
      </c>
      <c r="D24" s="22">
        <v>127.68</v>
      </c>
      <c r="E24" s="23" t="s">
        <v>138</v>
      </c>
      <c r="F24" s="23" t="s">
        <v>139</v>
      </c>
      <c r="G24" s="23" t="s">
        <v>140</v>
      </c>
      <c r="H24" s="23" t="s">
        <v>141</v>
      </c>
      <c r="I24" s="123" t="s">
        <v>65</v>
      </c>
      <c r="J24" s="24">
        <v>42706</v>
      </c>
      <c r="K24" s="21">
        <v>12</v>
      </c>
      <c r="L24" s="25">
        <v>1</v>
      </c>
      <c r="M24" s="22">
        <v>127.68</v>
      </c>
      <c r="N24" s="26">
        <f t="shared" si="1"/>
        <v>127.68</v>
      </c>
      <c r="O24" s="7"/>
      <c r="P24" s="27">
        <v>1</v>
      </c>
      <c r="Q24" s="27">
        <v>0</v>
      </c>
      <c r="R24" s="27">
        <v>0</v>
      </c>
      <c r="S24" s="27">
        <v>0</v>
      </c>
      <c r="T24" s="27">
        <v>0</v>
      </c>
      <c r="U24" s="28">
        <f t="shared" si="2"/>
        <v>1</v>
      </c>
      <c r="V24" s="21"/>
      <c r="W24" s="29">
        <f t="shared" si="3"/>
        <v>127.68</v>
      </c>
      <c r="X24" s="29">
        <f t="shared" si="3"/>
        <v>0</v>
      </c>
      <c r="Y24" s="29">
        <f t="shared" si="3"/>
        <v>0</v>
      </c>
      <c r="Z24" s="29">
        <f t="shared" si="3"/>
        <v>0</v>
      </c>
      <c r="AA24" s="29">
        <f t="shared" si="3"/>
        <v>0</v>
      </c>
    </row>
    <row r="25" spans="1:27" s="30" customFormat="1" ht="12.75" hidden="1" x14ac:dyDescent="0.2">
      <c r="A25" s="20" t="s">
        <v>142</v>
      </c>
      <c r="B25" s="21">
        <v>422135</v>
      </c>
      <c r="C25" s="21">
        <v>18</v>
      </c>
      <c r="D25" s="22">
        <v>41.25</v>
      </c>
      <c r="E25" s="23" t="s">
        <v>9</v>
      </c>
      <c r="F25" s="23" t="s">
        <v>143</v>
      </c>
      <c r="G25" s="23"/>
      <c r="H25" s="23" t="s">
        <v>144</v>
      </c>
      <c r="I25" s="123" t="s">
        <v>65</v>
      </c>
      <c r="J25" s="24">
        <v>42605</v>
      </c>
      <c r="K25" s="21">
        <v>8</v>
      </c>
      <c r="L25" s="25">
        <v>1</v>
      </c>
      <c r="M25" s="22">
        <v>41.25</v>
      </c>
      <c r="N25" s="26">
        <f t="shared" si="1"/>
        <v>41.25</v>
      </c>
      <c r="O25" s="7"/>
      <c r="P25" s="27">
        <v>1</v>
      </c>
      <c r="Q25" s="27">
        <v>0</v>
      </c>
      <c r="R25" s="27">
        <v>0</v>
      </c>
      <c r="S25" s="27">
        <v>0</v>
      </c>
      <c r="T25" s="27">
        <v>0</v>
      </c>
      <c r="U25" s="28">
        <f t="shared" si="2"/>
        <v>1</v>
      </c>
      <c r="V25" s="21"/>
      <c r="W25" s="29">
        <f t="shared" si="3"/>
        <v>41.25</v>
      </c>
      <c r="X25" s="29">
        <f t="shared" si="3"/>
        <v>0</v>
      </c>
      <c r="Y25" s="29">
        <f t="shared" si="3"/>
        <v>0</v>
      </c>
      <c r="Z25" s="29">
        <f t="shared" si="3"/>
        <v>0</v>
      </c>
      <c r="AA25" s="29">
        <f t="shared" si="3"/>
        <v>0</v>
      </c>
    </row>
    <row r="26" spans="1:27" s="30" customFormat="1" ht="12.75" hidden="1" x14ac:dyDescent="0.2">
      <c r="A26" s="20" t="s">
        <v>145</v>
      </c>
      <c r="B26" s="21" t="s">
        <v>146</v>
      </c>
      <c r="C26" s="21">
        <v>19</v>
      </c>
      <c r="D26" s="22">
        <v>436.44</v>
      </c>
      <c r="E26" s="23" t="s">
        <v>9</v>
      </c>
      <c r="F26" s="23"/>
      <c r="G26" s="23"/>
      <c r="H26" s="23" t="s">
        <v>147</v>
      </c>
      <c r="I26" s="123" t="s">
        <v>65</v>
      </c>
      <c r="J26" s="24">
        <v>42576</v>
      </c>
      <c r="K26" s="21">
        <v>7</v>
      </c>
      <c r="L26" s="25">
        <v>1</v>
      </c>
      <c r="M26" s="22">
        <v>436.44</v>
      </c>
      <c r="N26" s="26">
        <f t="shared" si="1"/>
        <v>436.44</v>
      </c>
      <c r="O26" s="7"/>
      <c r="P26" s="27">
        <v>1</v>
      </c>
      <c r="Q26" s="27">
        <v>0</v>
      </c>
      <c r="R26" s="27">
        <v>0</v>
      </c>
      <c r="S26" s="27">
        <v>0</v>
      </c>
      <c r="T26" s="27">
        <v>0</v>
      </c>
      <c r="U26" s="28">
        <f t="shared" si="2"/>
        <v>1</v>
      </c>
      <c r="V26" s="21"/>
      <c r="W26" s="29">
        <f t="shared" si="3"/>
        <v>436.44</v>
      </c>
      <c r="X26" s="29">
        <f t="shared" si="3"/>
        <v>0</v>
      </c>
      <c r="Y26" s="29">
        <f t="shared" si="3"/>
        <v>0</v>
      </c>
      <c r="Z26" s="29">
        <f t="shared" si="3"/>
        <v>0</v>
      </c>
      <c r="AA26" s="29">
        <f t="shared" si="3"/>
        <v>0</v>
      </c>
    </row>
    <row r="27" spans="1:27" s="30" customFormat="1" ht="12.75" x14ac:dyDescent="0.2">
      <c r="A27" s="20" t="s">
        <v>94</v>
      </c>
      <c r="B27" s="21">
        <v>5542</v>
      </c>
      <c r="C27" s="21">
        <v>20</v>
      </c>
      <c r="D27" s="22">
        <v>3220</v>
      </c>
      <c r="E27" s="23" t="s">
        <v>148</v>
      </c>
      <c r="F27" s="23" t="s">
        <v>112</v>
      </c>
      <c r="G27" s="23" t="s">
        <v>113</v>
      </c>
      <c r="H27" s="23" t="s">
        <v>149</v>
      </c>
      <c r="I27" s="23" t="s">
        <v>66</v>
      </c>
      <c r="J27" s="24">
        <v>42506</v>
      </c>
      <c r="K27" s="21">
        <v>5</v>
      </c>
      <c r="L27" s="25">
        <v>0.35719499999999998</v>
      </c>
      <c r="M27" s="22">
        <v>3220</v>
      </c>
      <c r="N27" s="155">
        <f t="shared" si="1"/>
        <v>1150.1678999999999</v>
      </c>
      <c r="O27" s="7"/>
      <c r="P27" s="27">
        <v>0.5</v>
      </c>
      <c r="Q27" s="27">
        <v>0.5</v>
      </c>
      <c r="R27" s="27">
        <v>0</v>
      </c>
      <c r="S27" s="27">
        <v>0</v>
      </c>
      <c r="T27" s="27">
        <v>0</v>
      </c>
      <c r="U27" s="28">
        <f t="shared" si="2"/>
        <v>1</v>
      </c>
      <c r="V27" s="21"/>
      <c r="W27" s="156">
        <f t="shared" si="3"/>
        <v>575.08394999999996</v>
      </c>
      <c r="X27" s="156">
        <f t="shared" si="3"/>
        <v>575.08394999999996</v>
      </c>
      <c r="Y27" s="156">
        <f t="shared" si="3"/>
        <v>0</v>
      </c>
      <c r="Z27" s="156">
        <f t="shared" si="3"/>
        <v>0</v>
      </c>
      <c r="AA27" s="156">
        <f t="shared" si="3"/>
        <v>0</v>
      </c>
    </row>
    <row r="28" spans="1:27" s="30" customFormat="1" ht="12.75" hidden="1" x14ac:dyDescent="0.2">
      <c r="A28" s="20" t="s">
        <v>150</v>
      </c>
      <c r="B28" s="21" t="s">
        <v>151</v>
      </c>
      <c r="C28" s="21">
        <v>21</v>
      </c>
      <c r="D28" s="22">
        <v>107.33</v>
      </c>
      <c r="E28" s="23" t="s">
        <v>152</v>
      </c>
      <c r="F28" s="23" t="s">
        <v>153</v>
      </c>
      <c r="G28" s="23" t="s">
        <v>154</v>
      </c>
      <c r="H28" s="23" t="s">
        <v>155</v>
      </c>
      <c r="I28" s="123" t="s">
        <v>65</v>
      </c>
      <c r="J28" s="24">
        <v>42432</v>
      </c>
      <c r="K28" s="21">
        <v>3</v>
      </c>
      <c r="L28" s="25">
        <v>1</v>
      </c>
      <c r="M28" s="22">
        <v>107.33</v>
      </c>
      <c r="N28" s="26">
        <f t="shared" si="1"/>
        <v>107.33</v>
      </c>
      <c r="O28" s="7"/>
      <c r="P28" s="27">
        <v>0</v>
      </c>
      <c r="Q28" s="27">
        <v>1</v>
      </c>
      <c r="R28" s="27">
        <v>0</v>
      </c>
      <c r="S28" s="27">
        <v>0</v>
      </c>
      <c r="T28" s="27">
        <v>0</v>
      </c>
      <c r="U28" s="28">
        <f t="shared" si="2"/>
        <v>1</v>
      </c>
      <c r="V28" s="21"/>
      <c r="W28" s="29">
        <f t="shared" si="3"/>
        <v>0</v>
      </c>
      <c r="X28" s="29">
        <f t="shared" si="3"/>
        <v>107.33</v>
      </c>
      <c r="Y28" s="29">
        <f t="shared" si="3"/>
        <v>0</v>
      </c>
      <c r="Z28" s="29">
        <f t="shared" si="3"/>
        <v>0</v>
      </c>
      <c r="AA28" s="29">
        <f t="shared" si="3"/>
        <v>0</v>
      </c>
    </row>
    <row r="29" spans="1:27" s="30" customFormat="1" ht="12.75" hidden="1" x14ac:dyDescent="0.2">
      <c r="A29" s="20" t="s">
        <v>94</v>
      </c>
      <c r="B29" s="21">
        <v>2177</v>
      </c>
      <c r="C29" s="21">
        <v>22</v>
      </c>
      <c r="D29" s="22">
        <v>415.6</v>
      </c>
      <c r="E29" s="23" t="s">
        <v>156</v>
      </c>
      <c r="F29" s="23" t="s">
        <v>157</v>
      </c>
      <c r="G29" s="23"/>
      <c r="H29" s="23" t="s">
        <v>158</v>
      </c>
      <c r="I29" s="123" t="s">
        <v>65</v>
      </c>
      <c r="J29" s="24">
        <v>42719</v>
      </c>
      <c r="K29" s="21">
        <v>12</v>
      </c>
      <c r="L29" s="25">
        <v>1</v>
      </c>
      <c r="M29" s="22">
        <v>415.6</v>
      </c>
      <c r="N29" s="26">
        <f t="shared" si="1"/>
        <v>415.6</v>
      </c>
      <c r="O29" s="7"/>
      <c r="P29" s="27">
        <v>0</v>
      </c>
      <c r="Q29" s="27">
        <v>1</v>
      </c>
      <c r="R29" s="27">
        <v>0</v>
      </c>
      <c r="S29" s="27">
        <v>0</v>
      </c>
      <c r="T29" s="27">
        <v>0</v>
      </c>
      <c r="U29" s="28">
        <f t="shared" si="2"/>
        <v>1</v>
      </c>
      <c r="V29" s="21"/>
      <c r="W29" s="29">
        <f t="shared" si="3"/>
        <v>0</v>
      </c>
      <c r="X29" s="29">
        <f t="shared" si="3"/>
        <v>415.6</v>
      </c>
      <c r="Y29" s="29">
        <f t="shared" si="3"/>
        <v>0</v>
      </c>
      <c r="Z29" s="29">
        <f t="shared" si="3"/>
        <v>0</v>
      </c>
      <c r="AA29" s="29">
        <f t="shared" si="3"/>
        <v>0</v>
      </c>
    </row>
    <row r="30" spans="1:27" s="30" customFormat="1" ht="12.75" x14ac:dyDescent="0.2">
      <c r="A30" s="20" t="s">
        <v>94</v>
      </c>
      <c r="B30" s="21">
        <v>27824</v>
      </c>
      <c r="C30" s="21">
        <v>23</v>
      </c>
      <c r="D30" s="22">
        <v>950</v>
      </c>
      <c r="E30" s="23" t="s">
        <v>12</v>
      </c>
      <c r="F30" s="23" t="s">
        <v>159</v>
      </c>
      <c r="G30" s="23" t="s">
        <v>160</v>
      </c>
      <c r="H30" s="23" t="s">
        <v>161</v>
      </c>
      <c r="I30" s="23" t="s">
        <v>66</v>
      </c>
      <c r="J30" s="24">
        <v>42647</v>
      </c>
      <c r="K30" s="21">
        <v>10</v>
      </c>
      <c r="L30" s="25">
        <v>1</v>
      </c>
      <c r="M30" s="22">
        <v>950</v>
      </c>
      <c r="N30" s="155">
        <f t="shared" si="1"/>
        <v>950</v>
      </c>
      <c r="O30" s="7"/>
      <c r="P30" s="27">
        <v>1</v>
      </c>
      <c r="Q30" s="27">
        <v>0</v>
      </c>
      <c r="R30" s="27">
        <v>0</v>
      </c>
      <c r="S30" s="27">
        <v>0</v>
      </c>
      <c r="T30" s="27">
        <v>0</v>
      </c>
      <c r="U30" s="28">
        <f t="shared" si="2"/>
        <v>1</v>
      </c>
      <c r="V30" s="21"/>
      <c r="W30" s="156">
        <f t="shared" si="3"/>
        <v>950</v>
      </c>
      <c r="X30" s="156">
        <f t="shared" si="3"/>
        <v>0</v>
      </c>
      <c r="Y30" s="156">
        <f t="shared" si="3"/>
        <v>0</v>
      </c>
      <c r="Z30" s="156">
        <f t="shared" si="3"/>
        <v>0</v>
      </c>
      <c r="AA30" s="156">
        <f t="shared" si="3"/>
        <v>0</v>
      </c>
    </row>
    <row r="31" spans="1:27" s="30" customFormat="1" ht="12.75" hidden="1" x14ac:dyDescent="0.2">
      <c r="A31" s="20" t="s">
        <v>162</v>
      </c>
      <c r="B31" s="21">
        <v>71047</v>
      </c>
      <c r="C31" s="21">
        <v>24</v>
      </c>
      <c r="D31" s="22">
        <v>77.489999999999995</v>
      </c>
      <c r="E31" s="23" t="s">
        <v>163</v>
      </c>
      <c r="F31" s="23" t="s">
        <v>164</v>
      </c>
      <c r="G31" s="23" t="s">
        <v>165</v>
      </c>
      <c r="H31" s="23" t="s">
        <v>141</v>
      </c>
      <c r="I31" s="123" t="s">
        <v>65</v>
      </c>
      <c r="J31" s="24">
        <v>42664</v>
      </c>
      <c r="K31" s="21">
        <v>10</v>
      </c>
      <c r="L31" s="25">
        <v>1</v>
      </c>
      <c r="M31" s="22">
        <v>77.489999999999995</v>
      </c>
      <c r="N31" s="26">
        <f t="shared" si="1"/>
        <v>77.489999999999995</v>
      </c>
      <c r="O31" s="7"/>
      <c r="P31" s="27">
        <v>1</v>
      </c>
      <c r="Q31" s="27">
        <v>0</v>
      </c>
      <c r="R31" s="27">
        <v>0</v>
      </c>
      <c r="S31" s="27">
        <v>0</v>
      </c>
      <c r="T31" s="27">
        <v>0</v>
      </c>
      <c r="U31" s="28">
        <f t="shared" si="2"/>
        <v>1</v>
      </c>
      <c r="V31" s="21"/>
      <c r="W31" s="29">
        <f t="shared" si="3"/>
        <v>77.489999999999995</v>
      </c>
      <c r="X31" s="29">
        <f t="shared" si="3"/>
        <v>0</v>
      </c>
      <c r="Y31" s="29">
        <f t="shared" si="3"/>
        <v>0</v>
      </c>
      <c r="Z31" s="29">
        <f t="shared" si="3"/>
        <v>0</v>
      </c>
      <c r="AA31" s="29">
        <f t="shared" si="3"/>
        <v>0</v>
      </c>
    </row>
    <row r="32" spans="1:27" s="30" customFormat="1" ht="12.75" x14ac:dyDescent="0.2">
      <c r="A32" s="20" t="s">
        <v>166</v>
      </c>
      <c r="B32" s="21">
        <v>2358</v>
      </c>
      <c r="C32" s="21">
        <v>25</v>
      </c>
      <c r="D32" s="22">
        <v>574</v>
      </c>
      <c r="E32" s="23" t="s">
        <v>163</v>
      </c>
      <c r="F32" s="23" t="s">
        <v>167</v>
      </c>
      <c r="G32" s="23" t="s">
        <v>168</v>
      </c>
      <c r="H32" s="23" t="s">
        <v>169</v>
      </c>
      <c r="I32" s="23" t="s">
        <v>66</v>
      </c>
      <c r="J32" s="24">
        <v>42398</v>
      </c>
      <c r="K32" s="21">
        <v>1</v>
      </c>
      <c r="L32" s="25">
        <v>1</v>
      </c>
      <c r="M32" s="22">
        <v>574</v>
      </c>
      <c r="N32" s="155">
        <f t="shared" si="1"/>
        <v>574</v>
      </c>
      <c r="O32" s="7"/>
      <c r="P32" s="27">
        <v>1</v>
      </c>
      <c r="Q32" s="27">
        <v>0</v>
      </c>
      <c r="R32" s="27">
        <v>0</v>
      </c>
      <c r="S32" s="27">
        <v>0</v>
      </c>
      <c r="T32" s="27">
        <v>0</v>
      </c>
      <c r="U32" s="28">
        <f t="shared" si="2"/>
        <v>1</v>
      </c>
      <c r="V32" s="21"/>
      <c r="W32" s="156">
        <f t="shared" si="3"/>
        <v>574</v>
      </c>
      <c r="X32" s="156">
        <f t="shared" si="3"/>
        <v>0</v>
      </c>
      <c r="Y32" s="156">
        <f t="shared" si="3"/>
        <v>0</v>
      </c>
      <c r="Z32" s="156">
        <f t="shared" si="3"/>
        <v>0</v>
      </c>
      <c r="AA32" s="156">
        <f t="shared" si="3"/>
        <v>0</v>
      </c>
    </row>
    <row r="33" spans="1:27" s="30" customFormat="1" ht="12.75" x14ac:dyDescent="0.2">
      <c r="A33" s="20" t="s">
        <v>166</v>
      </c>
      <c r="B33" s="21">
        <v>2389</v>
      </c>
      <c r="C33" s="21">
        <v>26</v>
      </c>
      <c r="D33" s="22">
        <v>210</v>
      </c>
      <c r="E33" s="23" t="s">
        <v>163</v>
      </c>
      <c r="F33" s="23" t="s">
        <v>167</v>
      </c>
      <c r="G33" s="23" t="s">
        <v>168</v>
      </c>
      <c r="H33" s="23" t="s">
        <v>169</v>
      </c>
      <c r="I33" s="23" t="s">
        <v>66</v>
      </c>
      <c r="J33" s="24">
        <v>42416</v>
      </c>
      <c r="K33" s="21">
        <v>2</v>
      </c>
      <c r="L33" s="25">
        <v>1</v>
      </c>
      <c r="M33" s="22">
        <v>210</v>
      </c>
      <c r="N33" s="155">
        <f t="shared" si="1"/>
        <v>210</v>
      </c>
      <c r="O33" s="7"/>
      <c r="P33" s="27">
        <v>1</v>
      </c>
      <c r="Q33" s="27">
        <v>0</v>
      </c>
      <c r="R33" s="27">
        <v>0</v>
      </c>
      <c r="S33" s="27">
        <v>0</v>
      </c>
      <c r="T33" s="27">
        <v>0</v>
      </c>
      <c r="U33" s="28">
        <f t="shared" si="2"/>
        <v>1</v>
      </c>
      <c r="V33" s="21"/>
      <c r="W33" s="156">
        <f t="shared" si="3"/>
        <v>210</v>
      </c>
      <c r="X33" s="156">
        <f t="shared" si="3"/>
        <v>0</v>
      </c>
      <c r="Y33" s="156">
        <f t="shared" si="3"/>
        <v>0</v>
      </c>
      <c r="Z33" s="156">
        <f t="shared" si="3"/>
        <v>0</v>
      </c>
      <c r="AA33" s="156">
        <f t="shared" si="3"/>
        <v>0</v>
      </c>
    </row>
    <row r="34" spans="1:27" s="30" customFormat="1" ht="12.75" x14ac:dyDescent="0.2">
      <c r="A34" s="20" t="s">
        <v>94</v>
      </c>
      <c r="B34" s="21">
        <v>7567</v>
      </c>
      <c r="C34" s="21">
        <v>27</v>
      </c>
      <c r="D34" s="22">
        <v>450</v>
      </c>
      <c r="E34" s="23" t="s">
        <v>163</v>
      </c>
      <c r="F34" s="23" t="s">
        <v>112</v>
      </c>
      <c r="G34" s="23" t="s">
        <v>113</v>
      </c>
      <c r="H34" s="23" t="s">
        <v>170</v>
      </c>
      <c r="I34" s="23" t="s">
        <v>66</v>
      </c>
      <c r="J34" s="24">
        <v>42548</v>
      </c>
      <c r="K34" s="21">
        <v>6</v>
      </c>
      <c r="L34" s="25">
        <v>1</v>
      </c>
      <c r="M34" s="22">
        <v>450</v>
      </c>
      <c r="N34" s="155">
        <f t="shared" si="1"/>
        <v>450</v>
      </c>
      <c r="O34" s="7"/>
      <c r="P34" s="27">
        <v>1</v>
      </c>
      <c r="Q34" s="27">
        <v>0</v>
      </c>
      <c r="R34" s="27">
        <v>0</v>
      </c>
      <c r="S34" s="27">
        <v>0</v>
      </c>
      <c r="T34" s="27">
        <v>0</v>
      </c>
      <c r="U34" s="28">
        <f t="shared" si="2"/>
        <v>1</v>
      </c>
      <c r="V34" s="21"/>
      <c r="W34" s="156">
        <f t="shared" si="3"/>
        <v>450</v>
      </c>
      <c r="X34" s="156">
        <f t="shared" si="3"/>
        <v>0</v>
      </c>
      <c r="Y34" s="156">
        <f t="shared" si="3"/>
        <v>0</v>
      </c>
      <c r="Z34" s="156">
        <f t="shared" si="3"/>
        <v>0</v>
      </c>
      <c r="AA34" s="156">
        <f t="shared" si="3"/>
        <v>0</v>
      </c>
    </row>
    <row r="35" spans="1:27" s="30" customFormat="1" ht="12.75" hidden="1" x14ac:dyDescent="0.2">
      <c r="A35" s="20" t="s">
        <v>103</v>
      </c>
      <c r="B35" s="21"/>
      <c r="C35" s="21">
        <v>28</v>
      </c>
      <c r="D35" s="22">
        <v>315.63</v>
      </c>
      <c r="E35" s="23" t="s">
        <v>171</v>
      </c>
      <c r="F35" s="23"/>
      <c r="G35" s="23"/>
      <c r="H35" s="23" t="s">
        <v>172</v>
      </c>
      <c r="I35" s="23" t="s">
        <v>65</v>
      </c>
      <c r="J35" s="24">
        <v>42667</v>
      </c>
      <c r="K35" s="21">
        <v>10</v>
      </c>
      <c r="L35" s="25">
        <v>1</v>
      </c>
      <c r="M35" s="22">
        <v>315.63</v>
      </c>
      <c r="N35" s="26">
        <f t="shared" si="1"/>
        <v>315.63</v>
      </c>
      <c r="O35" s="7"/>
      <c r="P35" s="27">
        <v>1</v>
      </c>
      <c r="Q35" s="27">
        <v>0</v>
      </c>
      <c r="R35" s="27">
        <v>0</v>
      </c>
      <c r="S35" s="27">
        <v>0</v>
      </c>
      <c r="T35" s="27">
        <v>0</v>
      </c>
      <c r="U35" s="28">
        <f t="shared" si="2"/>
        <v>1</v>
      </c>
      <c r="V35" s="21"/>
      <c r="W35" s="29">
        <f t="shared" si="3"/>
        <v>315.63</v>
      </c>
      <c r="X35" s="29">
        <f t="shared" si="3"/>
        <v>0</v>
      </c>
      <c r="Y35" s="29">
        <f t="shared" si="3"/>
        <v>0</v>
      </c>
      <c r="Z35" s="29">
        <f t="shared" si="3"/>
        <v>0</v>
      </c>
      <c r="AA35" s="29">
        <f t="shared" si="3"/>
        <v>0</v>
      </c>
    </row>
    <row r="36" spans="1:27" s="30" customFormat="1" ht="12.75" hidden="1" x14ac:dyDescent="0.2">
      <c r="A36" s="20" t="s">
        <v>94</v>
      </c>
      <c r="B36" s="21">
        <v>158262</v>
      </c>
      <c r="C36" s="21">
        <v>29</v>
      </c>
      <c r="D36" s="22">
        <v>25.18</v>
      </c>
      <c r="E36" s="23" t="s">
        <v>173</v>
      </c>
      <c r="F36" s="23" t="s">
        <v>174</v>
      </c>
      <c r="G36" s="23" t="s">
        <v>175</v>
      </c>
      <c r="H36" s="23" t="s">
        <v>176</v>
      </c>
      <c r="I36" s="123" t="s">
        <v>65</v>
      </c>
      <c r="J36" s="24">
        <v>42554</v>
      </c>
      <c r="K36" s="21">
        <v>7</v>
      </c>
      <c r="L36" s="25">
        <v>1</v>
      </c>
      <c r="M36" s="22">
        <v>25.18</v>
      </c>
      <c r="N36" s="26">
        <f t="shared" si="1"/>
        <v>25.18</v>
      </c>
      <c r="O36" s="7"/>
      <c r="P36" s="27">
        <v>0</v>
      </c>
      <c r="Q36" s="27">
        <v>1</v>
      </c>
      <c r="R36" s="27">
        <v>0</v>
      </c>
      <c r="S36" s="27">
        <v>0</v>
      </c>
      <c r="T36" s="27">
        <v>0</v>
      </c>
      <c r="U36" s="28">
        <f t="shared" si="2"/>
        <v>1</v>
      </c>
      <c r="V36" s="21"/>
      <c r="W36" s="29">
        <f t="shared" si="3"/>
        <v>0</v>
      </c>
      <c r="X36" s="29">
        <f t="shared" si="3"/>
        <v>25.18</v>
      </c>
      <c r="Y36" s="29">
        <f t="shared" si="3"/>
        <v>0</v>
      </c>
      <c r="Z36" s="29">
        <f t="shared" si="3"/>
        <v>0</v>
      </c>
      <c r="AA36" s="29">
        <f t="shared" si="3"/>
        <v>0</v>
      </c>
    </row>
    <row r="37" spans="1:27" s="30" customFormat="1" ht="12.75" x14ac:dyDescent="0.2">
      <c r="A37" s="20" t="s">
        <v>94</v>
      </c>
      <c r="B37" s="21">
        <v>84232</v>
      </c>
      <c r="C37" s="21">
        <v>30</v>
      </c>
      <c r="D37" s="22">
        <v>956.4</v>
      </c>
      <c r="E37" s="23" t="s">
        <v>177</v>
      </c>
      <c r="F37" s="23" t="s">
        <v>115</v>
      </c>
      <c r="G37" s="23" t="s">
        <v>116</v>
      </c>
      <c r="H37" s="23" t="s">
        <v>117</v>
      </c>
      <c r="I37" s="23" t="s">
        <v>66</v>
      </c>
      <c r="J37" s="24">
        <v>42681</v>
      </c>
      <c r="K37" s="21">
        <v>11</v>
      </c>
      <c r="L37" s="25">
        <v>1</v>
      </c>
      <c r="M37" s="22">
        <v>956.4</v>
      </c>
      <c r="N37" s="155">
        <f t="shared" si="1"/>
        <v>956.4</v>
      </c>
      <c r="O37" s="7"/>
      <c r="P37" s="27">
        <v>0.5</v>
      </c>
      <c r="Q37" s="27">
        <v>0.5</v>
      </c>
      <c r="R37" s="27">
        <v>0</v>
      </c>
      <c r="S37" s="27">
        <v>0</v>
      </c>
      <c r="T37" s="27">
        <v>0</v>
      </c>
      <c r="U37" s="28">
        <f t="shared" si="2"/>
        <v>1</v>
      </c>
      <c r="V37" s="21"/>
      <c r="W37" s="156">
        <f t="shared" si="3"/>
        <v>478.2</v>
      </c>
      <c r="X37" s="156">
        <f t="shared" si="3"/>
        <v>478.2</v>
      </c>
      <c r="Y37" s="156">
        <f t="shared" si="3"/>
        <v>0</v>
      </c>
      <c r="Z37" s="156">
        <f t="shared" si="3"/>
        <v>0</v>
      </c>
      <c r="AA37" s="156">
        <f t="shared" si="3"/>
        <v>0</v>
      </c>
    </row>
    <row r="38" spans="1:27" s="30" customFormat="1" ht="12.75" x14ac:dyDescent="0.2">
      <c r="A38" s="20" t="s">
        <v>94</v>
      </c>
      <c r="B38" s="21">
        <v>15516</v>
      </c>
      <c r="C38" s="21">
        <v>31</v>
      </c>
      <c r="D38" s="22">
        <v>1772.25</v>
      </c>
      <c r="E38" s="23" t="s">
        <v>178</v>
      </c>
      <c r="F38" s="23" t="s">
        <v>112</v>
      </c>
      <c r="G38" s="23" t="s">
        <v>113</v>
      </c>
      <c r="H38" s="23" t="s">
        <v>179</v>
      </c>
      <c r="I38" s="23" t="s">
        <v>66</v>
      </c>
      <c r="J38" s="24">
        <v>42733</v>
      </c>
      <c r="K38" s="21">
        <v>12</v>
      </c>
      <c r="L38" s="25">
        <v>1</v>
      </c>
      <c r="M38" s="22">
        <v>1772.25</v>
      </c>
      <c r="N38" s="155">
        <f t="shared" si="1"/>
        <v>1772.25</v>
      </c>
      <c r="O38" s="7"/>
      <c r="P38" s="27">
        <v>0</v>
      </c>
      <c r="Q38" s="27">
        <v>0.66666666666666674</v>
      </c>
      <c r="R38" s="27">
        <v>0.33333333333333337</v>
      </c>
      <c r="S38" s="27">
        <v>0</v>
      </c>
      <c r="T38" s="27">
        <v>0</v>
      </c>
      <c r="U38" s="28">
        <f t="shared" si="2"/>
        <v>1</v>
      </c>
      <c r="V38" s="21"/>
      <c r="W38" s="156">
        <f t="shared" si="3"/>
        <v>0</v>
      </c>
      <c r="X38" s="156">
        <f t="shared" si="3"/>
        <v>1181.5000000000002</v>
      </c>
      <c r="Y38" s="156">
        <f t="shared" si="3"/>
        <v>590.75000000000011</v>
      </c>
      <c r="Z38" s="156">
        <f t="shared" si="3"/>
        <v>0</v>
      </c>
      <c r="AA38" s="156">
        <f t="shared" si="3"/>
        <v>0</v>
      </c>
    </row>
    <row r="39" spans="1:27" s="30" customFormat="1" ht="12.75" x14ac:dyDescent="0.2">
      <c r="A39" s="20" t="s">
        <v>94</v>
      </c>
      <c r="B39" s="21">
        <v>27583</v>
      </c>
      <c r="C39" s="21">
        <v>32</v>
      </c>
      <c r="D39" s="22">
        <v>305</v>
      </c>
      <c r="E39" s="23" t="s">
        <v>180</v>
      </c>
      <c r="F39" s="23" t="s">
        <v>159</v>
      </c>
      <c r="G39" s="23" t="s">
        <v>160</v>
      </c>
      <c r="H39" s="23" t="s">
        <v>181</v>
      </c>
      <c r="I39" s="23" t="s">
        <v>66</v>
      </c>
      <c r="J39" s="24">
        <v>42615</v>
      </c>
      <c r="K39" s="21">
        <v>9</v>
      </c>
      <c r="L39" s="25">
        <v>1</v>
      </c>
      <c r="M39" s="22">
        <v>305</v>
      </c>
      <c r="N39" s="155">
        <f t="shared" si="1"/>
        <v>305</v>
      </c>
      <c r="O39" s="7"/>
      <c r="P39" s="27">
        <v>0</v>
      </c>
      <c r="Q39" s="27">
        <v>0.8</v>
      </c>
      <c r="R39" s="27">
        <v>0.2</v>
      </c>
      <c r="S39" s="27">
        <v>0</v>
      </c>
      <c r="T39" s="27">
        <v>0</v>
      </c>
      <c r="U39" s="28">
        <f t="shared" si="2"/>
        <v>1</v>
      </c>
      <c r="V39" s="21"/>
      <c r="W39" s="156">
        <f t="shared" si="3"/>
        <v>0</v>
      </c>
      <c r="X39" s="156">
        <f t="shared" si="3"/>
        <v>244</v>
      </c>
      <c r="Y39" s="156">
        <f t="shared" si="3"/>
        <v>61</v>
      </c>
      <c r="Z39" s="156">
        <f t="shared" si="3"/>
        <v>0</v>
      </c>
      <c r="AA39" s="156">
        <f t="shared" si="3"/>
        <v>0</v>
      </c>
    </row>
    <row r="40" spans="1:27" s="30" customFormat="1" ht="12.75" x14ac:dyDescent="0.2">
      <c r="A40" s="20" t="s">
        <v>94</v>
      </c>
      <c r="B40" s="21">
        <v>13354</v>
      </c>
      <c r="C40" s="21">
        <v>33</v>
      </c>
      <c r="D40" s="22">
        <v>1344.25</v>
      </c>
      <c r="E40" s="23" t="s">
        <v>182</v>
      </c>
      <c r="F40" s="23" t="s">
        <v>112</v>
      </c>
      <c r="G40" s="23" t="s">
        <v>113</v>
      </c>
      <c r="H40" s="23" t="s">
        <v>183</v>
      </c>
      <c r="I40" s="23" t="s">
        <v>66</v>
      </c>
      <c r="J40" s="24">
        <v>42683</v>
      </c>
      <c r="K40" s="21">
        <v>11</v>
      </c>
      <c r="L40" s="25">
        <v>1</v>
      </c>
      <c r="M40" s="22">
        <v>1344.25</v>
      </c>
      <c r="N40" s="155">
        <f t="shared" si="1"/>
        <v>1344.25</v>
      </c>
      <c r="O40" s="7"/>
      <c r="P40" s="27">
        <v>0</v>
      </c>
      <c r="Q40" s="27">
        <v>0.5</v>
      </c>
      <c r="R40" s="27">
        <v>0.5</v>
      </c>
      <c r="S40" s="27">
        <v>0</v>
      </c>
      <c r="T40" s="27">
        <v>0</v>
      </c>
      <c r="U40" s="28">
        <f t="shared" si="2"/>
        <v>1</v>
      </c>
      <c r="V40" s="21"/>
      <c r="W40" s="156">
        <f t="shared" si="3"/>
        <v>0</v>
      </c>
      <c r="X40" s="156">
        <f t="shared" si="3"/>
        <v>672.125</v>
      </c>
      <c r="Y40" s="156">
        <f t="shared" si="3"/>
        <v>672.125</v>
      </c>
      <c r="Z40" s="156">
        <f t="shared" si="3"/>
        <v>0</v>
      </c>
      <c r="AA40" s="156">
        <f t="shared" si="3"/>
        <v>0</v>
      </c>
    </row>
    <row r="41" spans="1:27" s="30" customFormat="1" ht="12.75" x14ac:dyDescent="0.2">
      <c r="A41" s="20" t="s">
        <v>94</v>
      </c>
      <c r="B41" s="21">
        <v>8891</v>
      </c>
      <c r="C41" s="21">
        <v>34</v>
      </c>
      <c r="D41" s="22">
        <v>4254.3</v>
      </c>
      <c r="E41" s="23" t="s">
        <v>184</v>
      </c>
      <c r="F41" s="23" t="s">
        <v>112</v>
      </c>
      <c r="G41" s="23" t="s">
        <v>113</v>
      </c>
      <c r="H41" s="23" t="s">
        <v>185</v>
      </c>
      <c r="I41" s="23" t="s">
        <v>66</v>
      </c>
      <c r="J41" s="24">
        <v>42578</v>
      </c>
      <c r="K41" s="21">
        <v>7</v>
      </c>
      <c r="L41" s="25">
        <v>1</v>
      </c>
      <c r="M41" s="22">
        <v>4254.3</v>
      </c>
      <c r="N41" s="155">
        <f t="shared" si="1"/>
        <v>4254.3</v>
      </c>
      <c r="O41" s="7"/>
      <c r="P41" s="27">
        <v>0.04</v>
      </c>
      <c r="Q41" s="27">
        <v>0.08</v>
      </c>
      <c r="R41" s="27">
        <v>0.88</v>
      </c>
      <c r="S41" s="27">
        <v>0</v>
      </c>
      <c r="T41" s="27">
        <v>0</v>
      </c>
      <c r="U41" s="28">
        <f t="shared" si="2"/>
        <v>1</v>
      </c>
      <c r="V41" s="21"/>
      <c r="W41" s="156">
        <f t="shared" si="3"/>
        <v>170.172</v>
      </c>
      <c r="X41" s="156">
        <f t="shared" si="3"/>
        <v>340.34399999999999</v>
      </c>
      <c r="Y41" s="156">
        <f t="shared" si="3"/>
        <v>3743.7840000000001</v>
      </c>
      <c r="Z41" s="156">
        <f t="shared" si="3"/>
        <v>0</v>
      </c>
      <c r="AA41" s="156">
        <f t="shared" si="3"/>
        <v>0</v>
      </c>
    </row>
    <row r="42" spans="1:27" s="30" customFormat="1" ht="12.75" x14ac:dyDescent="0.2">
      <c r="A42" s="20" t="s">
        <v>94</v>
      </c>
      <c r="B42" s="21">
        <v>5003</v>
      </c>
      <c r="C42" s="21">
        <v>35</v>
      </c>
      <c r="D42" s="22">
        <v>2550.17</v>
      </c>
      <c r="E42" s="23" t="s">
        <v>186</v>
      </c>
      <c r="F42" s="23" t="s">
        <v>112</v>
      </c>
      <c r="G42" s="23" t="s">
        <v>113</v>
      </c>
      <c r="H42" s="23" t="s">
        <v>187</v>
      </c>
      <c r="I42" s="23" t="s">
        <v>66</v>
      </c>
      <c r="J42" s="24">
        <v>42496</v>
      </c>
      <c r="K42" s="21">
        <v>2</v>
      </c>
      <c r="L42" s="25">
        <v>0.45101799999999997</v>
      </c>
      <c r="M42" s="22">
        <v>2550.17</v>
      </c>
      <c r="N42" s="155">
        <f t="shared" si="1"/>
        <v>1150.1725730599999</v>
      </c>
      <c r="O42" s="7"/>
      <c r="P42" s="27">
        <v>0</v>
      </c>
      <c r="Q42" s="27">
        <v>1</v>
      </c>
      <c r="R42" s="27">
        <v>0</v>
      </c>
      <c r="S42" s="27">
        <v>0</v>
      </c>
      <c r="T42" s="27">
        <v>0</v>
      </c>
      <c r="U42" s="28">
        <f t="shared" si="2"/>
        <v>1</v>
      </c>
      <c r="V42" s="21"/>
      <c r="W42" s="156">
        <f t="shared" si="3"/>
        <v>0</v>
      </c>
      <c r="X42" s="156">
        <f t="shared" si="3"/>
        <v>1150.1725730599999</v>
      </c>
      <c r="Y42" s="156">
        <f t="shared" si="3"/>
        <v>0</v>
      </c>
      <c r="Z42" s="156">
        <f t="shared" si="3"/>
        <v>0</v>
      </c>
      <c r="AA42" s="156">
        <f t="shared" si="3"/>
        <v>0</v>
      </c>
    </row>
    <row r="43" spans="1:27" s="30" customFormat="1" ht="12.75" x14ac:dyDescent="0.2">
      <c r="A43" s="20" t="s">
        <v>94</v>
      </c>
      <c r="B43" s="21">
        <v>28066</v>
      </c>
      <c r="C43" s="21">
        <v>36</v>
      </c>
      <c r="D43" s="22">
        <v>990</v>
      </c>
      <c r="E43" s="23" t="s">
        <v>188</v>
      </c>
      <c r="F43" s="23" t="s">
        <v>159</v>
      </c>
      <c r="G43" s="23" t="s">
        <v>160</v>
      </c>
      <c r="H43" s="23" t="s">
        <v>189</v>
      </c>
      <c r="I43" s="23" t="s">
        <v>66</v>
      </c>
      <c r="J43" s="24">
        <v>42677</v>
      </c>
      <c r="K43" s="21">
        <v>2</v>
      </c>
      <c r="L43" s="25">
        <v>0.42929</v>
      </c>
      <c r="M43" s="22">
        <v>990</v>
      </c>
      <c r="N43" s="155">
        <f t="shared" si="1"/>
        <v>424.99709999999999</v>
      </c>
      <c r="O43" s="7"/>
      <c r="P43" s="27">
        <v>0.33333333333333337</v>
      </c>
      <c r="Q43" s="27">
        <v>0.33333333333333337</v>
      </c>
      <c r="R43" s="27">
        <v>0</v>
      </c>
      <c r="S43" s="27">
        <v>0.33333333333333337</v>
      </c>
      <c r="T43" s="27">
        <v>0</v>
      </c>
      <c r="U43" s="28">
        <f t="shared" si="2"/>
        <v>1</v>
      </c>
      <c r="V43" s="21"/>
      <c r="W43" s="156">
        <f t="shared" si="3"/>
        <v>141.66570000000002</v>
      </c>
      <c r="X43" s="156">
        <f t="shared" si="3"/>
        <v>141.66570000000002</v>
      </c>
      <c r="Y43" s="156">
        <f t="shared" si="3"/>
        <v>0</v>
      </c>
      <c r="Z43" s="156">
        <f t="shared" si="3"/>
        <v>141.66570000000002</v>
      </c>
      <c r="AA43" s="156">
        <f t="shared" si="3"/>
        <v>0</v>
      </c>
    </row>
    <row r="44" spans="1:27" s="30" customFormat="1" ht="12.75" hidden="1" x14ac:dyDescent="0.2">
      <c r="A44" s="20" t="s">
        <v>190</v>
      </c>
      <c r="B44" s="21"/>
      <c r="C44" s="21">
        <v>37</v>
      </c>
      <c r="D44" s="22">
        <v>347.04</v>
      </c>
      <c r="E44" s="23" t="s">
        <v>191</v>
      </c>
      <c r="F44" s="23"/>
      <c r="G44" s="23"/>
      <c r="H44" s="23" t="s">
        <v>192</v>
      </c>
      <c r="I44" s="123" t="s">
        <v>65</v>
      </c>
      <c r="J44" s="24">
        <v>42607</v>
      </c>
      <c r="K44" s="21">
        <v>8</v>
      </c>
      <c r="L44" s="25">
        <v>1</v>
      </c>
      <c r="M44" s="22">
        <v>347.04</v>
      </c>
      <c r="N44" s="26">
        <f t="shared" si="1"/>
        <v>347.04</v>
      </c>
      <c r="O44" s="7"/>
      <c r="P44" s="27">
        <v>0</v>
      </c>
      <c r="Q44" s="27">
        <v>1</v>
      </c>
      <c r="R44" s="27">
        <v>0</v>
      </c>
      <c r="S44" s="27">
        <v>0</v>
      </c>
      <c r="T44" s="27">
        <v>0</v>
      </c>
      <c r="U44" s="28">
        <f t="shared" si="2"/>
        <v>1</v>
      </c>
      <c r="V44" s="21"/>
      <c r="W44" s="29">
        <f t="shared" si="3"/>
        <v>0</v>
      </c>
      <c r="X44" s="29">
        <f t="shared" si="3"/>
        <v>347.04</v>
      </c>
      <c r="Y44" s="29">
        <f t="shared" si="3"/>
        <v>0</v>
      </c>
      <c r="Z44" s="29">
        <f t="shared" si="3"/>
        <v>0</v>
      </c>
      <c r="AA44" s="29">
        <f t="shared" si="3"/>
        <v>0</v>
      </c>
    </row>
    <row r="45" spans="1:27" s="30" customFormat="1" ht="12.75" x14ac:dyDescent="0.2">
      <c r="A45" s="20" t="s">
        <v>94</v>
      </c>
      <c r="B45" s="21">
        <v>74225</v>
      </c>
      <c r="C45" s="21">
        <v>38</v>
      </c>
      <c r="D45" s="22">
        <v>281.93</v>
      </c>
      <c r="E45" s="23" t="s">
        <v>193</v>
      </c>
      <c r="F45" s="23" t="s">
        <v>194</v>
      </c>
      <c r="G45" s="23" t="s">
        <v>195</v>
      </c>
      <c r="H45" s="23" t="s">
        <v>196</v>
      </c>
      <c r="I45" s="23" t="s">
        <v>66</v>
      </c>
      <c r="J45" s="24">
        <v>42662</v>
      </c>
      <c r="K45" s="21">
        <v>10</v>
      </c>
      <c r="L45" s="25">
        <v>1</v>
      </c>
      <c r="M45" s="22">
        <v>281.93</v>
      </c>
      <c r="N45" s="155">
        <f t="shared" si="1"/>
        <v>281.93</v>
      </c>
      <c r="O45" s="7"/>
      <c r="P45" s="27">
        <v>0</v>
      </c>
      <c r="Q45" s="27">
        <v>0</v>
      </c>
      <c r="R45" s="27">
        <v>0</v>
      </c>
      <c r="S45" s="27">
        <v>1</v>
      </c>
      <c r="T45" s="27">
        <v>0</v>
      </c>
      <c r="U45" s="28">
        <f t="shared" si="2"/>
        <v>1</v>
      </c>
      <c r="V45" s="21"/>
      <c r="W45" s="156">
        <f t="shared" si="3"/>
        <v>0</v>
      </c>
      <c r="X45" s="156">
        <f t="shared" si="3"/>
        <v>0</v>
      </c>
      <c r="Y45" s="156">
        <f t="shared" si="3"/>
        <v>0</v>
      </c>
      <c r="Z45" s="156">
        <f t="shared" si="3"/>
        <v>281.93</v>
      </c>
      <c r="AA45" s="156">
        <f t="shared" si="3"/>
        <v>0</v>
      </c>
    </row>
    <row r="46" spans="1:27" s="30" customFormat="1" ht="12.75" x14ac:dyDescent="0.2">
      <c r="A46" s="20" t="s">
        <v>94</v>
      </c>
      <c r="B46" s="21">
        <v>69032</v>
      </c>
      <c r="C46" s="21">
        <v>39</v>
      </c>
      <c r="D46" s="22">
        <v>710.15</v>
      </c>
      <c r="E46" s="23" t="s">
        <v>197</v>
      </c>
      <c r="F46" s="23" t="s">
        <v>194</v>
      </c>
      <c r="G46" s="23" t="s">
        <v>195</v>
      </c>
      <c r="H46" s="23" t="s">
        <v>198</v>
      </c>
      <c r="I46" s="23" t="s">
        <v>66</v>
      </c>
      <c r="J46" s="24">
        <v>42404</v>
      </c>
      <c r="K46" s="21">
        <v>2</v>
      </c>
      <c r="L46" s="25">
        <v>1</v>
      </c>
      <c r="M46" s="22">
        <v>710.15</v>
      </c>
      <c r="N46" s="155">
        <f t="shared" si="1"/>
        <v>710.15</v>
      </c>
      <c r="O46" s="7"/>
      <c r="P46" s="27">
        <v>0</v>
      </c>
      <c r="Q46" s="27">
        <v>0</v>
      </c>
      <c r="R46" s="27">
        <v>0</v>
      </c>
      <c r="S46" s="27">
        <v>1</v>
      </c>
      <c r="T46" s="27">
        <v>0</v>
      </c>
      <c r="U46" s="28">
        <f t="shared" si="2"/>
        <v>1</v>
      </c>
      <c r="V46" s="21"/>
      <c r="W46" s="156">
        <f t="shared" si="3"/>
        <v>0</v>
      </c>
      <c r="X46" s="156">
        <f t="shared" si="3"/>
        <v>0</v>
      </c>
      <c r="Y46" s="156">
        <f t="shared" si="3"/>
        <v>0</v>
      </c>
      <c r="Z46" s="156">
        <f t="shared" si="3"/>
        <v>710.15</v>
      </c>
      <c r="AA46" s="156">
        <f t="shared" si="3"/>
        <v>0</v>
      </c>
    </row>
    <row r="47" spans="1:27" s="30" customFormat="1" ht="12.75" x14ac:dyDescent="0.2">
      <c r="A47" s="20" t="s">
        <v>94</v>
      </c>
      <c r="B47" s="21">
        <v>7976</v>
      </c>
      <c r="C47" s="21">
        <v>40</v>
      </c>
      <c r="D47" s="22">
        <v>290</v>
      </c>
      <c r="E47" s="23" t="s">
        <v>197</v>
      </c>
      <c r="F47" s="23" t="s">
        <v>112</v>
      </c>
      <c r="G47" s="23" t="s">
        <v>113</v>
      </c>
      <c r="H47" s="23" t="s">
        <v>199</v>
      </c>
      <c r="I47" s="23" t="s">
        <v>66</v>
      </c>
      <c r="J47" s="24">
        <v>42557</v>
      </c>
      <c r="K47" s="21">
        <v>7</v>
      </c>
      <c r="L47" s="25">
        <v>1</v>
      </c>
      <c r="M47" s="22">
        <v>290</v>
      </c>
      <c r="N47" s="155">
        <f t="shared" si="1"/>
        <v>290</v>
      </c>
      <c r="O47" s="7"/>
      <c r="P47" s="27">
        <v>0</v>
      </c>
      <c r="Q47" s="27">
        <v>0</v>
      </c>
      <c r="R47" s="27">
        <v>0</v>
      </c>
      <c r="S47" s="27">
        <v>1</v>
      </c>
      <c r="T47" s="27">
        <v>0</v>
      </c>
      <c r="U47" s="28">
        <f t="shared" si="2"/>
        <v>1</v>
      </c>
      <c r="V47" s="21"/>
      <c r="W47" s="156">
        <f t="shared" si="3"/>
        <v>0</v>
      </c>
      <c r="X47" s="156">
        <f t="shared" si="3"/>
        <v>0</v>
      </c>
      <c r="Y47" s="156">
        <f t="shared" si="3"/>
        <v>0</v>
      </c>
      <c r="Z47" s="156">
        <f t="shared" si="3"/>
        <v>290</v>
      </c>
      <c r="AA47" s="156">
        <f t="shared" si="3"/>
        <v>0</v>
      </c>
    </row>
    <row r="48" spans="1:27" s="30" customFormat="1" ht="12.75" x14ac:dyDescent="0.2">
      <c r="A48" s="20" t="s">
        <v>94</v>
      </c>
      <c r="B48" s="21">
        <v>15490</v>
      </c>
      <c r="C48" s="21">
        <v>41</v>
      </c>
      <c r="D48" s="22">
        <v>1330</v>
      </c>
      <c r="E48" s="23" t="s">
        <v>200</v>
      </c>
      <c r="F48" s="23" t="s">
        <v>201</v>
      </c>
      <c r="G48" s="23" t="s">
        <v>202</v>
      </c>
      <c r="H48" s="23" t="s">
        <v>203</v>
      </c>
      <c r="I48" s="23" t="s">
        <v>66</v>
      </c>
      <c r="J48" s="24">
        <v>42495</v>
      </c>
      <c r="K48" s="21">
        <v>5</v>
      </c>
      <c r="L48" s="25">
        <v>1</v>
      </c>
      <c r="M48" s="22">
        <v>1330</v>
      </c>
      <c r="N48" s="155">
        <f t="shared" si="1"/>
        <v>1330</v>
      </c>
      <c r="O48" s="7"/>
      <c r="P48" s="27">
        <v>0.14285714285714288</v>
      </c>
      <c r="Q48" s="27">
        <v>0</v>
      </c>
      <c r="R48" s="27">
        <v>0</v>
      </c>
      <c r="S48" s="27">
        <v>0.8571428571428571</v>
      </c>
      <c r="T48" s="27">
        <v>0</v>
      </c>
      <c r="U48" s="28">
        <f t="shared" si="2"/>
        <v>1</v>
      </c>
      <c r="V48" s="21"/>
      <c r="W48" s="156">
        <f t="shared" si="3"/>
        <v>190.00000000000003</v>
      </c>
      <c r="X48" s="156">
        <f t="shared" si="3"/>
        <v>0</v>
      </c>
      <c r="Y48" s="156">
        <f t="shared" si="3"/>
        <v>0</v>
      </c>
      <c r="Z48" s="156">
        <f t="shared" si="3"/>
        <v>1140</v>
      </c>
      <c r="AA48" s="156">
        <f t="shared" si="3"/>
        <v>0</v>
      </c>
    </row>
    <row r="49" spans="1:27" s="30" customFormat="1" ht="12.75" x14ac:dyDescent="0.2">
      <c r="A49" s="20" t="s">
        <v>94</v>
      </c>
      <c r="B49" s="21">
        <v>70623</v>
      </c>
      <c r="C49" s="21">
        <v>42</v>
      </c>
      <c r="D49" s="22">
        <v>1775.38</v>
      </c>
      <c r="E49" s="23" t="s">
        <v>204</v>
      </c>
      <c r="F49" s="23" t="s">
        <v>194</v>
      </c>
      <c r="G49" s="23" t="s">
        <v>195</v>
      </c>
      <c r="H49" s="23" t="s">
        <v>203</v>
      </c>
      <c r="I49" s="23" t="s">
        <v>66</v>
      </c>
      <c r="J49" s="24">
        <v>42480</v>
      </c>
      <c r="K49" s="21">
        <v>6</v>
      </c>
      <c r="L49" s="25">
        <v>1</v>
      </c>
      <c r="M49" s="22">
        <v>1775.38</v>
      </c>
      <c r="N49" s="155">
        <f t="shared" si="1"/>
        <v>1775.38</v>
      </c>
      <c r="O49" s="7"/>
      <c r="P49" s="27">
        <v>0</v>
      </c>
      <c r="Q49" s="27">
        <v>0</v>
      </c>
      <c r="R49" s="27">
        <v>0</v>
      </c>
      <c r="S49" s="27">
        <v>1</v>
      </c>
      <c r="T49" s="27">
        <v>0</v>
      </c>
      <c r="U49" s="28">
        <f t="shared" si="2"/>
        <v>1</v>
      </c>
      <c r="V49" s="21"/>
      <c r="W49" s="156">
        <f t="shared" si="3"/>
        <v>0</v>
      </c>
      <c r="X49" s="156">
        <f t="shared" si="3"/>
        <v>0</v>
      </c>
      <c r="Y49" s="156">
        <f t="shared" si="3"/>
        <v>0</v>
      </c>
      <c r="Z49" s="156">
        <f t="shared" si="3"/>
        <v>1775.38</v>
      </c>
      <c r="AA49" s="156">
        <f t="shared" si="3"/>
        <v>0</v>
      </c>
    </row>
    <row r="50" spans="1:27" s="30" customFormat="1" ht="12.75" x14ac:dyDescent="0.2">
      <c r="A50" s="20" t="s">
        <v>94</v>
      </c>
      <c r="B50" s="21">
        <v>17048</v>
      </c>
      <c r="C50" s="21">
        <v>43</v>
      </c>
      <c r="D50" s="22">
        <v>760</v>
      </c>
      <c r="E50" s="23" t="s">
        <v>205</v>
      </c>
      <c r="F50" s="23" t="s">
        <v>201</v>
      </c>
      <c r="G50" s="23" t="s">
        <v>202</v>
      </c>
      <c r="H50" s="23" t="s">
        <v>206</v>
      </c>
      <c r="I50" s="23" t="s">
        <v>66</v>
      </c>
      <c r="J50" s="24">
        <v>42702</v>
      </c>
      <c r="K50" s="21">
        <v>11</v>
      </c>
      <c r="L50" s="25">
        <v>1</v>
      </c>
      <c r="M50" s="22">
        <v>760</v>
      </c>
      <c r="N50" s="155">
        <f t="shared" si="1"/>
        <v>760</v>
      </c>
      <c r="O50" s="7"/>
      <c r="P50" s="27">
        <v>0</v>
      </c>
      <c r="Q50" s="27">
        <v>0</v>
      </c>
      <c r="R50" s="27">
        <v>0.75</v>
      </c>
      <c r="S50" s="27">
        <v>0.25</v>
      </c>
      <c r="T50" s="27">
        <v>0</v>
      </c>
      <c r="U50" s="28">
        <f t="shared" si="2"/>
        <v>1</v>
      </c>
      <c r="V50" s="21"/>
      <c r="W50" s="156">
        <f t="shared" si="3"/>
        <v>0</v>
      </c>
      <c r="X50" s="156">
        <f t="shared" si="3"/>
        <v>0</v>
      </c>
      <c r="Y50" s="156">
        <f t="shared" si="3"/>
        <v>570</v>
      </c>
      <c r="Z50" s="156">
        <f t="shared" si="3"/>
        <v>190</v>
      </c>
      <c r="AA50" s="156">
        <f t="shared" si="3"/>
        <v>0</v>
      </c>
    </row>
    <row r="51" spans="1:27" s="30" customFormat="1" ht="12.75" x14ac:dyDescent="0.2">
      <c r="A51" s="20" t="s">
        <v>94</v>
      </c>
      <c r="B51" s="21">
        <v>16158</v>
      </c>
      <c r="C51" s="21">
        <v>44</v>
      </c>
      <c r="D51" s="22">
        <v>380</v>
      </c>
      <c r="E51" s="23" t="s">
        <v>207</v>
      </c>
      <c r="F51" s="23" t="s">
        <v>201</v>
      </c>
      <c r="G51" s="23" t="s">
        <v>202</v>
      </c>
      <c r="H51" s="23" t="s">
        <v>208</v>
      </c>
      <c r="I51" s="23" t="s">
        <v>66</v>
      </c>
      <c r="J51" s="24">
        <v>42593</v>
      </c>
      <c r="K51" s="21">
        <v>8</v>
      </c>
      <c r="L51" s="25">
        <v>1</v>
      </c>
      <c r="M51" s="22">
        <v>380</v>
      </c>
      <c r="N51" s="155">
        <f t="shared" si="1"/>
        <v>380</v>
      </c>
      <c r="O51" s="7"/>
      <c r="P51" s="27">
        <v>0</v>
      </c>
      <c r="Q51" s="27">
        <v>0.5</v>
      </c>
      <c r="R51" s="27">
        <v>0.5</v>
      </c>
      <c r="S51" s="27">
        <v>0</v>
      </c>
      <c r="T51" s="27">
        <v>0</v>
      </c>
      <c r="U51" s="28">
        <f t="shared" si="2"/>
        <v>1</v>
      </c>
      <c r="V51" s="21"/>
      <c r="W51" s="156">
        <f t="shared" si="3"/>
        <v>0</v>
      </c>
      <c r="X51" s="156">
        <f t="shared" si="3"/>
        <v>190</v>
      </c>
      <c r="Y51" s="156">
        <f t="shared" si="3"/>
        <v>190</v>
      </c>
      <c r="Z51" s="156">
        <f t="shared" si="3"/>
        <v>0</v>
      </c>
      <c r="AA51" s="156">
        <f t="shared" si="3"/>
        <v>0</v>
      </c>
    </row>
    <row r="52" spans="1:27" s="30" customFormat="1" ht="12.75" x14ac:dyDescent="0.2">
      <c r="A52" s="20" t="s">
        <v>94</v>
      </c>
      <c r="B52" s="21">
        <v>38029</v>
      </c>
      <c r="C52" s="21">
        <v>45</v>
      </c>
      <c r="D52" s="22">
        <v>1303.4000000000001</v>
      </c>
      <c r="E52" s="23" t="s">
        <v>209</v>
      </c>
      <c r="F52" s="23" t="s">
        <v>96</v>
      </c>
      <c r="G52" s="23" t="s">
        <v>97</v>
      </c>
      <c r="H52" s="23" t="s">
        <v>210</v>
      </c>
      <c r="I52" s="23" t="s">
        <v>66</v>
      </c>
      <c r="J52" s="24" t="s">
        <v>211</v>
      </c>
      <c r="K52" s="21">
        <v>11</v>
      </c>
      <c r="L52" s="25">
        <v>1</v>
      </c>
      <c r="M52" s="22">
        <v>1303.4000000000001</v>
      </c>
      <c r="N52" s="155">
        <f t="shared" si="1"/>
        <v>1303.4000000000001</v>
      </c>
      <c r="O52" s="7"/>
      <c r="P52" s="27">
        <v>0</v>
      </c>
      <c r="Q52" s="27">
        <v>0</v>
      </c>
      <c r="R52" s="27">
        <v>0.5</v>
      </c>
      <c r="S52" s="27">
        <v>0.5</v>
      </c>
      <c r="T52" s="27">
        <v>0</v>
      </c>
      <c r="U52" s="28">
        <f t="shared" si="2"/>
        <v>1</v>
      </c>
      <c r="V52" s="21"/>
      <c r="W52" s="156">
        <f t="shared" si="3"/>
        <v>0</v>
      </c>
      <c r="X52" s="156">
        <f t="shared" si="3"/>
        <v>0</v>
      </c>
      <c r="Y52" s="156">
        <f t="shared" si="3"/>
        <v>651.70000000000005</v>
      </c>
      <c r="Z52" s="156">
        <f t="shared" si="3"/>
        <v>651.70000000000005</v>
      </c>
      <c r="AA52" s="156">
        <f t="shared" si="3"/>
        <v>0</v>
      </c>
    </row>
    <row r="53" spans="1:27" s="30" customFormat="1" ht="12.75" x14ac:dyDescent="0.2">
      <c r="A53" s="20" t="s">
        <v>94</v>
      </c>
      <c r="B53" s="21">
        <v>84627</v>
      </c>
      <c r="C53" s="21">
        <v>46</v>
      </c>
      <c r="D53" s="22">
        <v>3773</v>
      </c>
      <c r="E53" s="23" t="s">
        <v>212</v>
      </c>
      <c r="F53" s="23" t="s">
        <v>115</v>
      </c>
      <c r="G53" s="23" t="s">
        <v>116</v>
      </c>
      <c r="H53" s="23" t="s">
        <v>213</v>
      </c>
      <c r="I53" s="23" t="s">
        <v>66</v>
      </c>
      <c r="J53" s="24">
        <v>42697</v>
      </c>
      <c r="K53" s="21">
        <v>11</v>
      </c>
      <c r="L53" s="25">
        <v>1</v>
      </c>
      <c r="M53" s="22">
        <v>3773</v>
      </c>
      <c r="N53" s="155">
        <f t="shared" si="1"/>
        <v>3773</v>
      </c>
      <c r="O53" s="7"/>
      <c r="P53" s="27">
        <v>0</v>
      </c>
      <c r="Q53" s="27">
        <v>0.5</v>
      </c>
      <c r="R53" s="27">
        <v>0.5</v>
      </c>
      <c r="S53" s="27">
        <v>0</v>
      </c>
      <c r="T53" s="27">
        <v>0</v>
      </c>
      <c r="U53" s="28">
        <f t="shared" si="2"/>
        <v>1</v>
      </c>
      <c r="V53" s="21"/>
      <c r="W53" s="156">
        <f t="shared" si="3"/>
        <v>0</v>
      </c>
      <c r="X53" s="156">
        <f t="shared" si="3"/>
        <v>1886.5</v>
      </c>
      <c r="Y53" s="156">
        <f t="shared" si="3"/>
        <v>1886.5</v>
      </c>
      <c r="Z53" s="156">
        <f t="shared" si="3"/>
        <v>0</v>
      </c>
      <c r="AA53" s="156">
        <f t="shared" si="3"/>
        <v>0</v>
      </c>
    </row>
    <row r="54" spans="1:27" s="30" customFormat="1" ht="12.75" x14ac:dyDescent="0.2">
      <c r="A54" s="20" t="s">
        <v>94</v>
      </c>
      <c r="B54" s="21">
        <v>70624</v>
      </c>
      <c r="C54" s="21">
        <v>47</v>
      </c>
      <c r="D54" s="22">
        <v>760.85</v>
      </c>
      <c r="E54" s="23" t="s">
        <v>214</v>
      </c>
      <c r="F54" s="23" t="s">
        <v>194</v>
      </c>
      <c r="G54" s="23" t="s">
        <v>195</v>
      </c>
      <c r="H54" s="23" t="s">
        <v>215</v>
      </c>
      <c r="I54" s="23" t="s">
        <v>66</v>
      </c>
      <c r="J54" s="24">
        <v>42480</v>
      </c>
      <c r="K54" s="21">
        <v>4</v>
      </c>
      <c r="L54" s="25">
        <v>1</v>
      </c>
      <c r="M54" s="22">
        <v>760.85</v>
      </c>
      <c r="N54" s="155">
        <f t="shared" si="1"/>
        <v>760.85</v>
      </c>
      <c r="O54" s="7"/>
      <c r="P54" s="27">
        <v>0</v>
      </c>
      <c r="Q54" s="27">
        <v>0</v>
      </c>
      <c r="R54" s="27">
        <v>0.66666666666666674</v>
      </c>
      <c r="S54" s="27">
        <v>0.33333333333333337</v>
      </c>
      <c r="T54" s="27">
        <v>0</v>
      </c>
      <c r="U54" s="28">
        <f t="shared" si="2"/>
        <v>1</v>
      </c>
      <c r="V54" s="21"/>
      <c r="W54" s="156">
        <f t="shared" si="3"/>
        <v>0</v>
      </c>
      <c r="X54" s="156">
        <f t="shared" si="3"/>
        <v>0</v>
      </c>
      <c r="Y54" s="156">
        <f t="shared" si="3"/>
        <v>507.23333333333341</v>
      </c>
      <c r="Z54" s="156">
        <f t="shared" si="3"/>
        <v>253.6166666666667</v>
      </c>
      <c r="AA54" s="156">
        <f t="shared" si="3"/>
        <v>0</v>
      </c>
    </row>
    <row r="55" spans="1:27" s="30" customFormat="1" ht="12.75" x14ac:dyDescent="0.2">
      <c r="A55" s="20" t="s">
        <v>94</v>
      </c>
      <c r="B55" s="21">
        <v>81076</v>
      </c>
      <c r="C55" s="21">
        <v>48</v>
      </c>
      <c r="D55" s="22">
        <v>5127.7</v>
      </c>
      <c r="E55" s="23" t="s">
        <v>216</v>
      </c>
      <c r="F55" s="23" t="s">
        <v>115</v>
      </c>
      <c r="G55" s="23" t="s">
        <v>116</v>
      </c>
      <c r="H55" s="23" t="s">
        <v>217</v>
      </c>
      <c r="I55" s="23" t="s">
        <v>66</v>
      </c>
      <c r="J55" s="24">
        <v>42569</v>
      </c>
      <c r="K55" s="21">
        <v>7</v>
      </c>
      <c r="L55" s="25">
        <v>1</v>
      </c>
      <c r="M55" s="22">
        <v>5127.7</v>
      </c>
      <c r="N55" s="155">
        <f t="shared" si="1"/>
        <v>5127.7</v>
      </c>
      <c r="O55" s="7"/>
      <c r="P55" s="27">
        <v>0</v>
      </c>
      <c r="Q55" s="27">
        <v>0</v>
      </c>
      <c r="R55" s="27">
        <v>1</v>
      </c>
      <c r="S55" s="27">
        <v>0</v>
      </c>
      <c r="T55" s="27">
        <v>0</v>
      </c>
      <c r="U55" s="28">
        <f t="shared" si="2"/>
        <v>1</v>
      </c>
      <c r="V55" s="21"/>
      <c r="W55" s="156">
        <f t="shared" si="3"/>
        <v>0</v>
      </c>
      <c r="X55" s="156">
        <f t="shared" si="3"/>
        <v>0</v>
      </c>
      <c r="Y55" s="156">
        <f t="shared" si="3"/>
        <v>5127.7</v>
      </c>
      <c r="Z55" s="156">
        <f t="shared" si="3"/>
        <v>0</v>
      </c>
      <c r="AA55" s="156">
        <f t="shared" si="3"/>
        <v>0</v>
      </c>
    </row>
    <row r="56" spans="1:27" s="30" customFormat="1" ht="12.75" x14ac:dyDescent="0.2">
      <c r="A56" s="20" t="s">
        <v>94</v>
      </c>
      <c r="B56" s="21">
        <v>80302</v>
      </c>
      <c r="C56" s="21">
        <v>49</v>
      </c>
      <c r="D56" s="22">
        <v>5127.7</v>
      </c>
      <c r="E56" s="23" t="s">
        <v>216</v>
      </c>
      <c r="F56" s="23" t="s">
        <v>115</v>
      </c>
      <c r="G56" s="23" t="s">
        <v>116</v>
      </c>
      <c r="H56" s="23" t="s">
        <v>217</v>
      </c>
      <c r="I56" s="23" t="s">
        <v>66</v>
      </c>
      <c r="J56" s="24">
        <v>42541</v>
      </c>
      <c r="K56" s="21">
        <v>6</v>
      </c>
      <c r="L56" s="25">
        <v>1</v>
      </c>
      <c r="M56" s="22">
        <v>5127.7</v>
      </c>
      <c r="N56" s="155">
        <f t="shared" si="1"/>
        <v>5127.7</v>
      </c>
      <c r="O56" s="7"/>
      <c r="P56" s="27">
        <v>0</v>
      </c>
      <c r="Q56" s="27">
        <v>0</v>
      </c>
      <c r="R56" s="27">
        <v>1</v>
      </c>
      <c r="S56" s="27">
        <v>0</v>
      </c>
      <c r="T56" s="27">
        <v>0</v>
      </c>
      <c r="U56" s="28">
        <f t="shared" si="2"/>
        <v>1</v>
      </c>
      <c r="V56" s="21"/>
      <c r="W56" s="156">
        <f t="shared" si="3"/>
        <v>0</v>
      </c>
      <c r="X56" s="156">
        <f t="shared" si="3"/>
        <v>0</v>
      </c>
      <c r="Y56" s="156">
        <f t="shared" si="3"/>
        <v>5127.7</v>
      </c>
      <c r="Z56" s="156">
        <f t="shared" si="3"/>
        <v>0</v>
      </c>
      <c r="AA56" s="156">
        <f t="shared" si="3"/>
        <v>0</v>
      </c>
    </row>
    <row r="57" spans="1:27" s="30" customFormat="1" ht="12.75" hidden="1" x14ac:dyDescent="0.2">
      <c r="A57" s="20" t="s">
        <v>142</v>
      </c>
      <c r="B57" s="21">
        <v>411869</v>
      </c>
      <c r="C57" s="21">
        <v>50</v>
      </c>
      <c r="D57" s="22">
        <v>4198.47</v>
      </c>
      <c r="E57" s="23" t="s">
        <v>218</v>
      </c>
      <c r="F57" s="23" t="s">
        <v>143</v>
      </c>
      <c r="G57" s="23"/>
      <c r="H57" s="23" t="s">
        <v>219</v>
      </c>
      <c r="I57" s="123" t="s">
        <v>65</v>
      </c>
      <c r="J57" s="24">
        <v>42598</v>
      </c>
      <c r="K57" s="21">
        <v>8</v>
      </c>
      <c r="L57" s="25">
        <v>1</v>
      </c>
      <c r="M57" s="22">
        <v>4198.47</v>
      </c>
      <c r="N57" s="26">
        <f t="shared" si="1"/>
        <v>4198.47</v>
      </c>
      <c r="O57" s="7"/>
      <c r="P57" s="27">
        <v>0.33333333333333337</v>
      </c>
      <c r="Q57" s="27">
        <v>0</v>
      </c>
      <c r="R57" s="27">
        <v>0.66666666666666674</v>
      </c>
      <c r="S57" s="27">
        <v>0</v>
      </c>
      <c r="T57" s="27">
        <v>0</v>
      </c>
      <c r="U57" s="28">
        <f t="shared" si="2"/>
        <v>1</v>
      </c>
      <c r="V57" s="21"/>
      <c r="W57" s="29">
        <f t="shared" si="3"/>
        <v>1399.4900000000002</v>
      </c>
      <c r="X57" s="29">
        <f t="shared" si="3"/>
        <v>0</v>
      </c>
      <c r="Y57" s="29">
        <f t="shared" si="3"/>
        <v>2798.9800000000005</v>
      </c>
      <c r="Z57" s="29">
        <f t="shared" si="3"/>
        <v>0</v>
      </c>
      <c r="AA57" s="29">
        <f t="shared" si="3"/>
        <v>0</v>
      </c>
    </row>
    <row r="58" spans="1:27" s="30" customFormat="1" ht="12.75" x14ac:dyDescent="0.2">
      <c r="A58" s="20" t="s">
        <v>94</v>
      </c>
      <c r="B58" s="21">
        <v>10844</v>
      </c>
      <c r="C58" s="21">
        <v>51</v>
      </c>
      <c r="D58" s="22">
        <v>436.5</v>
      </c>
      <c r="E58" s="23" t="s">
        <v>220</v>
      </c>
      <c r="F58" s="23" t="s">
        <v>112</v>
      </c>
      <c r="G58" s="23" t="s">
        <v>113</v>
      </c>
      <c r="H58" s="23" t="s">
        <v>221</v>
      </c>
      <c r="I58" s="23" t="s">
        <v>66</v>
      </c>
      <c r="J58" s="24">
        <v>42621</v>
      </c>
      <c r="K58" s="21">
        <v>9</v>
      </c>
      <c r="L58" s="25">
        <v>1</v>
      </c>
      <c r="M58" s="22">
        <v>436.5</v>
      </c>
      <c r="N58" s="155">
        <f t="shared" si="1"/>
        <v>436.5</v>
      </c>
      <c r="O58" s="7"/>
      <c r="P58" s="27">
        <v>0</v>
      </c>
      <c r="Q58" s="27">
        <v>0</v>
      </c>
      <c r="R58" s="27">
        <v>1</v>
      </c>
      <c r="S58" s="27">
        <v>0</v>
      </c>
      <c r="T58" s="27">
        <v>0</v>
      </c>
      <c r="U58" s="28">
        <f t="shared" si="2"/>
        <v>1</v>
      </c>
      <c r="V58" s="21"/>
      <c r="W58" s="156">
        <f t="shared" si="3"/>
        <v>0</v>
      </c>
      <c r="X58" s="156">
        <f t="shared" si="3"/>
        <v>0</v>
      </c>
      <c r="Y58" s="156">
        <f t="shared" si="3"/>
        <v>436.5</v>
      </c>
      <c r="Z58" s="156">
        <f t="shared" si="3"/>
        <v>0</v>
      </c>
      <c r="AA58" s="156">
        <f t="shared" si="3"/>
        <v>0</v>
      </c>
    </row>
    <row r="59" spans="1:27" s="30" customFormat="1" ht="12.75" x14ac:dyDescent="0.2">
      <c r="A59" s="20" t="s">
        <v>94</v>
      </c>
      <c r="B59" s="21">
        <v>83455</v>
      </c>
      <c r="C59" s="21">
        <v>52</v>
      </c>
      <c r="D59" s="22">
        <v>524</v>
      </c>
      <c r="E59" s="23" t="s">
        <v>222</v>
      </c>
      <c r="F59" s="23" t="s">
        <v>115</v>
      </c>
      <c r="G59" s="23" t="s">
        <v>116</v>
      </c>
      <c r="H59" s="23" t="s">
        <v>223</v>
      </c>
      <c r="I59" s="23" t="s">
        <v>66</v>
      </c>
      <c r="J59" s="24">
        <v>42653</v>
      </c>
      <c r="K59" s="21">
        <v>10</v>
      </c>
      <c r="L59" s="25">
        <v>1</v>
      </c>
      <c r="M59" s="22">
        <v>524</v>
      </c>
      <c r="N59" s="155">
        <f t="shared" si="1"/>
        <v>524</v>
      </c>
      <c r="O59" s="7"/>
      <c r="P59" s="27">
        <v>0</v>
      </c>
      <c r="Q59" s="27">
        <v>0</v>
      </c>
      <c r="R59" s="27">
        <v>1</v>
      </c>
      <c r="S59" s="27">
        <v>0</v>
      </c>
      <c r="T59" s="27">
        <v>0</v>
      </c>
      <c r="U59" s="28">
        <f t="shared" si="2"/>
        <v>1</v>
      </c>
      <c r="V59" s="21"/>
      <c r="W59" s="156">
        <f t="shared" si="3"/>
        <v>0</v>
      </c>
      <c r="X59" s="156">
        <f t="shared" si="3"/>
        <v>0</v>
      </c>
      <c r="Y59" s="156">
        <f t="shared" si="3"/>
        <v>524</v>
      </c>
      <c r="Z59" s="156">
        <f t="shared" si="3"/>
        <v>0</v>
      </c>
      <c r="AA59" s="156">
        <f t="shared" si="3"/>
        <v>0</v>
      </c>
    </row>
    <row r="60" spans="1:27" s="30" customFormat="1" ht="12.75" x14ac:dyDescent="0.2">
      <c r="A60" s="20" t="s">
        <v>94</v>
      </c>
      <c r="B60" s="21">
        <v>12036</v>
      </c>
      <c r="C60" s="21">
        <v>53</v>
      </c>
      <c r="D60" s="22">
        <v>1217.75</v>
      </c>
      <c r="E60" s="23" t="s">
        <v>224</v>
      </c>
      <c r="F60" s="23" t="s">
        <v>112</v>
      </c>
      <c r="G60" s="23" t="s">
        <v>113</v>
      </c>
      <c r="H60" s="23" t="s">
        <v>225</v>
      </c>
      <c r="I60" s="23" t="s">
        <v>66</v>
      </c>
      <c r="J60" s="24">
        <v>42657</v>
      </c>
      <c r="K60" s="21">
        <v>10</v>
      </c>
      <c r="L60" s="25">
        <v>1</v>
      </c>
      <c r="M60" s="22">
        <v>1217.75</v>
      </c>
      <c r="N60" s="155">
        <f t="shared" si="1"/>
        <v>1217.75</v>
      </c>
      <c r="O60" s="7"/>
      <c r="P60" s="27">
        <v>0</v>
      </c>
      <c r="Q60" s="27">
        <v>0</v>
      </c>
      <c r="R60" s="27">
        <v>1</v>
      </c>
      <c r="S60" s="27">
        <v>0</v>
      </c>
      <c r="T60" s="27">
        <v>0</v>
      </c>
      <c r="U60" s="28">
        <f t="shared" si="2"/>
        <v>1</v>
      </c>
      <c r="V60" s="21"/>
      <c r="W60" s="156">
        <f t="shared" si="3"/>
        <v>0</v>
      </c>
      <c r="X60" s="156">
        <f t="shared" si="3"/>
        <v>0</v>
      </c>
      <c r="Y60" s="156">
        <f t="shared" si="3"/>
        <v>1217.75</v>
      </c>
      <c r="Z60" s="156">
        <f t="shared" si="3"/>
        <v>0</v>
      </c>
      <c r="AA60" s="156">
        <f t="shared" si="3"/>
        <v>0</v>
      </c>
    </row>
    <row r="61" spans="1:27" s="30" customFormat="1" ht="12.75" x14ac:dyDescent="0.2">
      <c r="A61" s="20" t="s">
        <v>94</v>
      </c>
      <c r="B61" s="21">
        <v>12603</v>
      </c>
      <c r="C61" s="21">
        <v>54</v>
      </c>
      <c r="D61" s="22">
        <v>1359.25</v>
      </c>
      <c r="E61" s="23" t="s">
        <v>226</v>
      </c>
      <c r="F61" s="23" t="s">
        <v>112</v>
      </c>
      <c r="G61" s="23" t="s">
        <v>113</v>
      </c>
      <c r="H61" s="23" t="s">
        <v>227</v>
      </c>
      <c r="I61" s="23" t="s">
        <v>66</v>
      </c>
      <c r="J61" s="24">
        <v>42664</v>
      </c>
      <c r="K61" s="21">
        <v>10</v>
      </c>
      <c r="L61" s="25">
        <v>1</v>
      </c>
      <c r="M61" s="22">
        <v>1359.25</v>
      </c>
      <c r="N61" s="155">
        <f t="shared" si="1"/>
        <v>1359.25</v>
      </c>
      <c r="O61" s="7"/>
      <c r="P61" s="27">
        <v>0</v>
      </c>
      <c r="Q61" s="27">
        <v>0</v>
      </c>
      <c r="R61" s="27">
        <v>1</v>
      </c>
      <c r="S61" s="27">
        <v>0</v>
      </c>
      <c r="T61" s="27">
        <v>0</v>
      </c>
      <c r="U61" s="28">
        <f t="shared" si="2"/>
        <v>1</v>
      </c>
      <c r="V61" s="21"/>
      <c r="W61" s="156">
        <f t="shared" si="3"/>
        <v>0</v>
      </c>
      <c r="X61" s="156">
        <f t="shared" si="3"/>
        <v>0</v>
      </c>
      <c r="Y61" s="156">
        <f t="shared" si="3"/>
        <v>1359.25</v>
      </c>
      <c r="Z61" s="156">
        <f t="shared" si="3"/>
        <v>0</v>
      </c>
      <c r="AA61" s="156">
        <f t="shared" si="3"/>
        <v>0</v>
      </c>
    </row>
    <row r="62" spans="1:27" s="30" customFormat="1" ht="12.75" x14ac:dyDescent="0.2">
      <c r="A62" s="20" t="s">
        <v>166</v>
      </c>
      <c r="B62" s="21"/>
      <c r="C62" s="21">
        <v>55</v>
      </c>
      <c r="D62" s="22">
        <v>2220</v>
      </c>
      <c r="E62" s="23" t="s">
        <v>93</v>
      </c>
      <c r="F62" s="23" t="s">
        <v>228</v>
      </c>
      <c r="G62" s="23" t="s">
        <v>229</v>
      </c>
      <c r="H62" s="23" t="s">
        <v>230</v>
      </c>
      <c r="I62" s="23" t="s">
        <v>66</v>
      </c>
      <c r="J62" s="24">
        <v>42552</v>
      </c>
      <c r="K62" s="21">
        <v>7</v>
      </c>
      <c r="L62" s="25">
        <v>1</v>
      </c>
      <c r="M62" s="22">
        <v>2220</v>
      </c>
      <c r="N62" s="155">
        <f t="shared" si="1"/>
        <v>2220</v>
      </c>
      <c r="O62" s="7"/>
      <c r="P62" s="27">
        <v>0</v>
      </c>
      <c r="Q62" s="27">
        <v>0</v>
      </c>
      <c r="R62" s="27">
        <v>0</v>
      </c>
      <c r="S62" s="27">
        <v>0</v>
      </c>
      <c r="T62" s="27">
        <v>1</v>
      </c>
      <c r="U62" s="28">
        <f t="shared" si="2"/>
        <v>1</v>
      </c>
      <c r="V62" s="21"/>
      <c r="W62" s="156">
        <f t="shared" si="3"/>
        <v>0</v>
      </c>
      <c r="X62" s="156">
        <f t="shared" si="3"/>
        <v>0</v>
      </c>
      <c r="Y62" s="156">
        <f t="shared" si="3"/>
        <v>0</v>
      </c>
      <c r="Z62" s="156">
        <f t="shared" si="3"/>
        <v>0</v>
      </c>
      <c r="AA62" s="156">
        <f t="shared" si="3"/>
        <v>2220</v>
      </c>
    </row>
    <row r="63" spans="1:27" s="30" customFormat="1" ht="12.75" x14ac:dyDescent="0.2">
      <c r="A63" s="20" t="s">
        <v>166</v>
      </c>
      <c r="B63" s="21"/>
      <c r="C63" s="21">
        <v>56</v>
      </c>
      <c r="D63" s="22">
        <v>2220</v>
      </c>
      <c r="E63" s="23" t="s">
        <v>93</v>
      </c>
      <c r="F63" s="23" t="s">
        <v>228</v>
      </c>
      <c r="G63" s="23" t="s">
        <v>229</v>
      </c>
      <c r="H63" s="23" t="s">
        <v>231</v>
      </c>
      <c r="I63" s="23" t="s">
        <v>66</v>
      </c>
      <c r="J63" s="24">
        <v>42583</v>
      </c>
      <c r="K63" s="21">
        <v>8</v>
      </c>
      <c r="L63" s="25">
        <v>1</v>
      </c>
      <c r="M63" s="22">
        <v>2220</v>
      </c>
      <c r="N63" s="155">
        <f t="shared" si="1"/>
        <v>2220</v>
      </c>
      <c r="O63" s="7"/>
      <c r="P63" s="27">
        <v>0</v>
      </c>
      <c r="Q63" s="27">
        <v>0</v>
      </c>
      <c r="R63" s="27">
        <v>0</v>
      </c>
      <c r="S63" s="27">
        <v>0</v>
      </c>
      <c r="T63" s="27">
        <v>1</v>
      </c>
      <c r="U63" s="28">
        <f t="shared" si="2"/>
        <v>1</v>
      </c>
      <c r="V63" s="21"/>
      <c r="W63" s="156">
        <f t="shared" si="3"/>
        <v>0</v>
      </c>
      <c r="X63" s="156">
        <f t="shared" si="3"/>
        <v>0</v>
      </c>
      <c r="Y63" s="156">
        <f t="shared" si="3"/>
        <v>0</v>
      </c>
      <c r="Z63" s="156">
        <f t="shared" si="3"/>
        <v>0</v>
      </c>
      <c r="AA63" s="156">
        <f t="shared" si="3"/>
        <v>2220</v>
      </c>
    </row>
    <row r="64" spans="1:27" s="30" customFormat="1" ht="12.75" x14ac:dyDescent="0.2">
      <c r="A64" s="20" t="s">
        <v>166</v>
      </c>
      <c r="B64" s="21"/>
      <c r="C64" s="21">
        <v>57</v>
      </c>
      <c r="D64" s="22">
        <v>2220</v>
      </c>
      <c r="E64" s="23" t="s">
        <v>93</v>
      </c>
      <c r="F64" s="23" t="s">
        <v>228</v>
      </c>
      <c r="G64" s="23" t="s">
        <v>229</v>
      </c>
      <c r="H64" s="23" t="s">
        <v>232</v>
      </c>
      <c r="I64" s="23" t="s">
        <v>66</v>
      </c>
      <c r="J64" s="24">
        <v>42618</v>
      </c>
      <c r="K64" s="21">
        <v>9</v>
      </c>
      <c r="L64" s="25">
        <v>1</v>
      </c>
      <c r="M64" s="22">
        <v>2220</v>
      </c>
      <c r="N64" s="155">
        <f t="shared" si="1"/>
        <v>2220</v>
      </c>
      <c r="O64" s="7"/>
      <c r="P64" s="27">
        <v>0</v>
      </c>
      <c r="Q64" s="27">
        <v>0</v>
      </c>
      <c r="R64" s="27">
        <v>0</v>
      </c>
      <c r="S64" s="27">
        <v>0</v>
      </c>
      <c r="T64" s="27">
        <v>1</v>
      </c>
      <c r="U64" s="28">
        <f t="shared" si="2"/>
        <v>1</v>
      </c>
      <c r="V64" s="21"/>
      <c r="W64" s="156">
        <f t="shared" si="3"/>
        <v>0</v>
      </c>
      <c r="X64" s="156">
        <f t="shared" si="3"/>
        <v>0</v>
      </c>
      <c r="Y64" s="156">
        <f t="shared" si="3"/>
        <v>0</v>
      </c>
      <c r="Z64" s="156">
        <f t="shared" si="3"/>
        <v>0</v>
      </c>
      <c r="AA64" s="156">
        <f t="shared" si="3"/>
        <v>2220</v>
      </c>
    </row>
    <row r="65" spans="1:27" s="30" customFormat="1" ht="12.75" x14ac:dyDescent="0.2">
      <c r="A65" s="20" t="s">
        <v>166</v>
      </c>
      <c r="B65" s="21"/>
      <c r="C65" s="21">
        <v>58</v>
      </c>
      <c r="D65" s="22">
        <v>2220</v>
      </c>
      <c r="E65" s="23" t="s">
        <v>93</v>
      </c>
      <c r="F65" s="23" t="s">
        <v>228</v>
      </c>
      <c r="G65" s="23" t="s">
        <v>229</v>
      </c>
      <c r="H65" s="23" t="s">
        <v>233</v>
      </c>
      <c r="I65" s="23" t="s">
        <v>66</v>
      </c>
      <c r="J65" s="24">
        <v>42646</v>
      </c>
      <c r="K65" s="21">
        <v>10</v>
      </c>
      <c r="L65" s="25">
        <v>1</v>
      </c>
      <c r="M65" s="22">
        <v>2220</v>
      </c>
      <c r="N65" s="155">
        <f t="shared" si="1"/>
        <v>2220</v>
      </c>
      <c r="O65" s="7"/>
      <c r="P65" s="27">
        <v>0</v>
      </c>
      <c r="Q65" s="27">
        <v>0</v>
      </c>
      <c r="R65" s="27">
        <v>0</v>
      </c>
      <c r="S65" s="27">
        <v>0</v>
      </c>
      <c r="T65" s="27">
        <v>1</v>
      </c>
      <c r="U65" s="28">
        <f t="shared" si="2"/>
        <v>1</v>
      </c>
      <c r="V65" s="21"/>
      <c r="W65" s="156">
        <f t="shared" si="3"/>
        <v>0</v>
      </c>
      <c r="X65" s="156">
        <f t="shared" si="3"/>
        <v>0</v>
      </c>
      <c r="Y65" s="156">
        <f t="shared" si="3"/>
        <v>0</v>
      </c>
      <c r="Z65" s="156">
        <f t="shared" si="3"/>
        <v>0</v>
      </c>
      <c r="AA65" s="156">
        <f t="shared" si="3"/>
        <v>2220</v>
      </c>
    </row>
    <row r="66" spans="1:27" s="30" customFormat="1" ht="12.75" x14ac:dyDescent="0.2">
      <c r="A66" s="20" t="s">
        <v>166</v>
      </c>
      <c r="B66" s="21"/>
      <c r="C66" s="21">
        <v>59</v>
      </c>
      <c r="D66" s="22">
        <v>2220</v>
      </c>
      <c r="E66" s="23" t="s">
        <v>93</v>
      </c>
      <c r="F66" s="23" t="s">
        <v>228</v>
      </c>
      <c r="G66" s="23" t="s">
        <v>229</v>
      </c>
      <c r="H66" s="23" t="s">
        <v>234</v>
      </c>
      <c r="I66" s="23" t="s">
        <v>66</v>
      </c>
      <c r="J66" s="24">
        <v>42675</v>
      </c>
      <c r="K66" s="21">
        <v>11</v>
      </c>
      <c r="L66" s="25">
        <v>1</v>
      </c>
      <c r="M66" s="22">
        <v>2220</v>
      </c>
      <c r="N66" s="155">
        <f t="shared" si="1"/>
        <v>2220</v>
      </c>
      <c r="O66" s="7"/>
      <c r="P66" s="27">
        <v>0</v>
      </c>
      <c r="Q66" s="27">
        <v>0</v>
      </c>
      <c r="R66" s="27">
        <v>0</v>
      </c>
      <c r="S66" s="27">
        <v>0</v>
      </c>
      <c r="T66" s="27">
        <v>1</v>
      </c>
      <c r="U66" s="28">
        <f t="shared" si="2"/>
        <v>1</v>
      </c>
      <c r="V66" s="21"/>
      <c r="W66" s="156">
        <f t="shared" si="3"/>
        <v>0</v>
      </c>
      <c r="X66" s="156">
        <f t="shared" si="3"/>
        <v>0</v>
      </c>
      <c r="Y66" s="156">
        <f t="shared" si="3"/>
        <v>0</v>
      </c>
      <c r="Z66" s="156">
        <f t="shared" si="3"/>
        <v>0</v>
      </c>
      <c r="AA66" s="156">
        <f t="shared" si="3"/>
        <v>2220</v>
      </c>
    </row>
    <row r="67" spans="1:27" s="30" customFormat="1" ht="12.75" x14ac:dyDescent="0.2">
      <c r="A67" s="20" t="s">
        <v>166</v>
      </c>
      <c r="B67" s="21"/>
      <c r="C67" s="21">
        <v>60</v>
      </c>
      <c r="D67" s="22">
        <v>2220</v>
      </c>
      <c r="E67" s="23" t="s">
        <v>93</v>
      </c>
      <c r="F67" s="23" t="s">
        <v>228</v>
      </c>
      <c r="G67" s="23" t="s">
        <v>229</v>
      </c>
      <c r="H67" s="23" t="s">
        <v>235</v>
      </c>
      <c r="I67" s="23" t="s">
        <v>66</v>
      </c>
      <c r="J67" s="24">
        <v>42705</v>
      </c>
      <c r="K67" s="21">
        <v>12</v>
      </c>
      <c r="L67" s="25">
        <v>1</v>
      </c>
      <c r="M67" s="22">
        <v>2220</v>
      </c>
      <c r="N67" s="155">
        <f t="shared" si="1"/>
        <v>2220</v>
      </c>
      <c r="O67" s="7"/>
      <c r="P67" s="27">
        <v>0</v>
      </c>
      <c r="Q67" s="27">
        <v>0</v>
      </c>
      <c r="R67" s="27">
        <v>0</v>
      </c>
      <c r="S67" s="27">
        <v>0</v>
      </c>
      <c r="T67" s="27">
        <v>1</v>
      </c>
      <c r="U67" s="28">
        <f t="shared" si="2"/>
        <v>1</v>
      </c>
      <c r="V67" s="21"/>
      <c r="W67" s="156">
        <f t="shared" si="3"/>
        <v>0</v>
      </c>
      <c r="X67" s="156">
        <f t="shared" si="3"/>
        <v>0</v>
      </c>
      <c r="Y67" s="156">
        <f t="shared" si="3"/>
        <v>0</v>
      </c>
      <c r="Z67" s="156">
        <f t="shared" si="3"/>
        <v>0</v>
      </c>
      <c r="AA67" s="156">
        <f t="shared" si="3"/>
        <v>2220</v>
      </c>
    </row>
    <row r="68" spans="1:27" s="30" customFormat="1" ht="12.75" x14ac:dyDescent="0.2">
      <c r="A68" s="20" t="s">
        <v>166</v>
      </c>
      <c r="B68" s="21"/>
      <c r="C68" s="21">
        <v>61</v>
      </c>
      <c r="D68" s="22">
        <v>40</v>
      </c>
      <c r="E68" s="23" t="s">
        <v>93</v>
      </c>
      <c r="F68" s="23" t="s">
        <v>228</v>
      </c>
      <c r="G68" s="23" t="s">
        <v>229</v>
      </c>
      <c r="H68" s="23" t="s">
        <v>236</v>
      </c>
      <c r="I68" s="23" t="s">
        <v>66</v>
      </c>
      <c r="J68" s="24">
        <v>42627</v>
      </c>
      <c r="K68" s="21">
        <v>9</v>
      </c>
      <c r="L68" s="25">
        <v>1</v>
      </c>
      <c r="M68" s="22">
        <v>40</v>
      </c>
      <c r="N68" s="155">
        <f t="shared" si="1"/>
        <v>40</v>
      </c>
      <c r="O68" s="7"/>
      <c r="P68" s="27">
        <v>0</v>
      </c>
      <c r="Q68" s="27">
        <v>0</v>
      </c>
      <c r="R68" s="27">
        <v>0</v>
      </c>
      <c r="S68" s="27">
        <v>0</v>
      </c>
      <c r="T68" s="27">
        <v>1</v>
      </c>
      <c r="U68" s="28">
        <f t="shared" si="2"/>
        <v>1</v>
      </c>
      <c r="V68" s="21"/>
      <c r="W68" s="156">
        <f t="shared" si="3"/>
        <v>0</v>
      </c>
      <c r="X68" s="156">
        <f t="shared" si="3"/>
        <v>0</v>
      </c>
      <c r="Y68" s="156">
        <f t="shared" si="3"/>
        <v>0</v>
      </c>
      <c r="Z68" s="156">
        <f t="shared" si="3"/>
        <v>0</v>
      </c>
      <c r="AA68" s="156">
        <f t="shared" si="3"/>
        <v>40</v>
      </c>
    </row>
    <row r="69" spans="1:27" s="30" customFormat="1" ht="12.75" x14ac:dyDescent="0.2">
      <c r="A69" s="20" t="s">
        <v>166</v>
      </c>
      <c r="B69" s="21"/>
      <c r="C69" s="21">
        <v>62</v>
      </c>
      <c r="D69" s="22">
        <v>50</v>
      </c>
      <c r="E69" s="23" t="s">
        <v>93</v>
      </c>
      <c r="F69" s="23" t="s">
        <v>228</v>
      </c>
      <c r="G69" s="23" t="s">
        <v>229</v>
      </c>
      <c r="H69" s="23" t="s">
        <v>237</v>
      </c>
      <c r="I69" s="23" t="s">
        <v>66</v>
      </c>
      <c r="J69" s="24">
        <v>42622</v>
      </c>
      <c r="K69" s="21">
        <v>9</v>
      </c>
      <c r="L69" s="25">
        <v>1</v>
      </c>
      <c r="M69" s="22">
        <v>50</v>
      </c>
      <c r="N69" s="155">
        <f t="shared" si="1"/>
        <v>50</v>
      </c>
      <c r="O69" s="7"/>
      <c r="P69" s="27">
        <v>0</v>
      </c>
      <c r="Q69" s="27">
        <v>0</v>
      </c>
      <c r="R69" s="27">
        <v>0</v>
      </c>
      <c r="S69" s="27">
        <v>0</v>
      </c>
      <c r="T69" s="27">
        <v>1</v>
      </c>
      <c r="U69" s="28">
        <f t="shared" si="2"/>
        <v>1</v>
      </c>
      <c r="V69" s="21"/>
      <c r="W69" s="156">
        <f t="shared" si="3"/>
        <v>0</v>
      </c>
      <c r="X69" s="156">
        <f t="shared" si="3"/>
        <v>0</v>
      </c>
      <c r="Y69" s="156">
        <f t="shared" si="3"/>
        <v>0</v>
      </c>
      <c r="Z69" s="156">
        <f t="shared" si="3"/>
        <v>0</v>
      </c>
      <c r="AA69" s="156">
        <f t="shared" si="3"/>
        <v>50</v>
      </c>
    </row>
    <row r="70" spans="1:27" s="30" customFormat="1" ht="12.75" hidden="1" x14ac:dyDescent="0.2">
      <c r="A70" s="20" t="s">
        <v>99</v>
      </c>
      <c r="B70" s="21" t="s">
        <v>238</v>
      </c>
      <c r="C70" s="21">
        <v>63</v>
      </c>
      <c r="D70" s="22">
        <v>350</v>
      </c>
      <c r="E70" s="23" t="s">
        <v>93</v>
      </c>
      <c r="F70" s="23" t="s">
        <v>239</v>
      </c>
      <c r="G70" s="23"/>
      <c r="H70" s="23" t="s">
        <v>240</v>
      </c>
      <c r="I70" s="23" t="s">
        <v>65</v>
      </c>
      <c r="J70" s="24">
        <v>42626</v>
      </c>
      <c r="K70" s="21">
        <v>9</v>
      </c>
      <c r="L70" s="25">
        <v>1</v>
      </c>
      <c r="M70" s="22">
        <v>350</v>
      </c>
      <c r="N70" s="26">
        <f t="shared" si="1"/>
        <v>350</v>
      </c>
      <c r="O70" s="7"/>
      <c r="P70" s="27">
        <v>0</v>
      </c>
      <c r="Q70" s="27">
        <v>0</v>
      </c>
      <c r="R70" s="27">
        <v>0</v>
      </c>
      <c r="S70" s="27">
        <v>0</v>
      </c>
      <c r="T70" s="27">
        <v>1</v>
      </c>
      <c r="U70" s="28">
        <f t="shared" si="2"/>
        <v>1</v>
      </c>
      <c r="V70" s="21"/>
      <c r="W70" s="29">
        <f t="shared" si="3"/>
        <v>0</v>
      </c>
      <c r="X70" s="29">
        <f t="shared" si="3"/>
        <v>0</v>
      </c>
      <c r="Y70" s="29">
        <f t="shared" si="3"/>
        <v>0</v>
      </c>
      <c r="Z70" s="29">
        <f t="shared" si="3"/>
        <v>0</v>
      </c>
      <c r="AA70" s="29">
        <f t="shared" si="3"/>
        <v>350</v>
      </c>
    </row>
    <row r="71" spans="1:27" s="30" customFormat="1" ht="12.75" x14ac:dyDescent="0.2">
      <c r="A71" s="20" t="s">
        <v>166</v>
      </c>
      <c r="B71" s="21"/>
      <c r="C71" s="21">
        <v>64</v>
      </c>
      <c r="D71" s="22">
        <v>250</v>
      </c>
      <c r="E71" s="23" t="s">
        <v>93</v>
      </c>
      <c r="F71" s="23" t="s">
        <v>228</v>
      </c>
      <c r="G71" s="23" t="s">
        <v>229</v>
      </c>
      <c r="H71" s="23" t="s">
        <v>241</v>
      </c>
      <c r="I71" s="23" t="s">
        <v>66</v>
      </c>
      <c r="J71" s="24">
        <v>42671</v>
      </c>
      <c r="K71" s="21">
        <v>10</v>
      </c>
      <c r="L71" s="25">
        <v>1</v>
      </c>
      <c r="M71" s="22">
        <v>250</v>
      </c>
      <c r="N71" s="155">
        <f t="shared" si="1"/>
        <v>250</v>
      </c>
      <c r="O71" s="7"/>
      <c r="P71" s="27">
        <v>0</v>
      </c>
      <c r="Q71" s="27">
        <v>0</v>
      </c>
      <c r="R71" s="27">
        <v>0</v>
      </c>
      <c r="S71" s="27">
        <v>0</v>
      </c>
      <c r="T71" s="27">
        <v>1</v>
      </c>
      <c r="U71" s="28">
        <f t="shared" si="2"/>
        <v>1</v>
      </c>
      <c r="V71" s="21"/>
      <c r="W71" s="156">
        <f t="shared" si="3"/>
        <v>0</v>
      </c>
      <c r="X71" s="156">
        <f t="shared" si="3"/>
        <v>0</v>
      </c>
      <c r="Y71" s="156">
        <f t="shared" si="3"/>
        <v>0</v>
      </c>
      <c r="Z71" s="156">
        <f t="shared" si="3"/>
        <v>0</v>
      </c>
      <c r="AA71" s="156">
        <f t="shared" si="3"/>
        <v>250</v>
      </c>
    </row>
    <row r="72" spans="1:27" s="30" customFormat="1" ht="12.75" hidden="1" x14ac:dyDescent="0.2">
      <c r="A72" s="20" t="s">
        <v>242</v>
      </c>
      <c r="B72" s="31">
        <v>1167152312</v>
      </c>
      <c r="C72" s="21">
        <v>65</v>
      </c>
      <c r="D72" s="22">
        <v>290</v>
      </c>
      <c r="E72" s="23" t="s">
        <v>93</v>
      </c>
      <c r="F72" s="23" t="s">
        <v>243</v>
      </c>
      <c r="G72" s="23"/>
      <c r="H72" s="23" t="s">
        <v>244</v>
      </c>
      <c r="I72" s="23" t="s">
        <v>65</v>
      </c>
      <c r="J72" s="24">
        <v>42681</v>
      </c>
      <c r="K72" s="21">
        <v>11</v>
      </c>
      <c r="L72" s="25">
        <v>1</v>
      </c>
      <c r="M72" s="22">
        <v>290</v>
      </c>
      <c r="N72" s="26">
        <f t="shared" si="1"/>
        <v>290</v>
      </c>
      <c r="O72" s="7"/>
      <c r="P72" s="27">
        <v>0</v>
      </c>
      <c r="Q72" s="27">
        <v>0</v>
      </c>
      <c r="R72" s="27">
        <v>0</v>
      </c>
      <c r="S72" s="27">
        <v>0</v>
      </c>
      <c r="T72" s="27">
        <v>1</v>
      </c>
      <c r="U72" s="28">
        <f t="shared" si="2"/>
        <v>1</v>
      </c>
      <c r="V72" s="21"/>
      <c r="W72" s="29">
        <f t="shared" ref="W72:AA87" si="4">$N72*P72</f>
        <v>0</v>
      </c>
      <c r="X72" s="29">
        <f t="shared" si="4"/>
        <v>0</v>
      </c>
      <c r="Y72" s="29">
        <f t="shared" si="4"/>
        <v>0</v>
      </c>
      <c r="Z72" s="29">
        <f t="shared" si="4"/>
        <v>0</v>
      </c>
      <c r="AA72" s="29">
        <f t="shared" si="4"/>
        <v>290</v>
      </c>
    </row>
    <row r="73" spans="1:27" s="30" customFormat="1" ht="12.75" hidden="1" x14ac:dyDescent="0.2">
      <c r="A73" s="20" t="s">
        <v>99</v>
      </c>
      <c r="B73" s="21" t="s">
        <v>245</v>
      </c>
      <c r="C73" s="21">
        <v>66</v>
      </c>
      <c r="D73" s="22">
        <v>396.12</v>
      </c>
      <c r="E73" s="23" t="s">
        <v>93</v>
      </c>
      <c r="F73" s="23" t="s">
        <v>246</v>
      </c>
      <c r="G73" s="23"/>
      <c r="H73" s="23" t="s">
        <v>247</v>
      </c>
      <c r="I73" s="23" t="s">
        <v>65</v>
      </c>
      <c r="J73" s="24">
        <v>42681</v>
      </c>
      <c r="K73" s="21">
        <v>11</v>
      </c>
      <c r="L73" s="25">
        <v>1</v>
      </c>
      <c r="M73" s="22">
        <v>396.12</v>
      </c>
      <c r="N73" s="26">
        <f t="shared" ref="N73:N114" si="5">M73*L73</f>
        <v>396.12</v>
      </c>
      <c r="O73" s="7"/>
      <c r="P73" s="27">
        <v>0</v>
      </c>
      <c r="Q73" s="27">
        <v>0</v>
      </c>
      <c r="R73" s="27">
        <v>0</v>
      </c>
      <c r="S73" s="27">
        <v>0</v>
      </c>
      <c r="T73" s="27">
        <v>1</v>
      </c>
      <c r="U73" s="28">
        <f t="shared" ref="U73:U114" si="6">SUM(P73:T73)</f>
        <v>1</v>
      </c>
      <c r="V73" s="21"/>
      <c r="W73" s="29">
        <f t="shared" si="4"/>
        <v>0</v>
      </c>
      <c r="X73" s="29">
        <f t="shared" si="4"/>
        <v>0</v>
      </c>
      <c r="Y73" s="29">
        <f t="shared" si="4"/>
        <v>0</v>
      </c>
      <c r="Z73" s="29">
        <f t="shared" si="4"/>
        <v>0</v>
      </c>
      <c r="AA73" s="29">
        <f t="shared" si="4"/>
        <v>396.12</v>
      </c>
    </row>
    <row r="74" spans="1:27" s="30" customFormat="1" ht="12.75" x14ac:dyDescent="0.2">
      <c r="A74" s="20" t="s">
        <v>166</v>
      </c>
      <c r="B74" s="21"/>
      <c r="C74" s="21">
        <v>67</v>
      </c>
      <c r="D74" s="22">
        <v>50</v>
      </c>
      <c r="E74" s="23" t="s">
        <v>93</v>
      </c>
      <c r="F74" s="23" t="s">
        <v>228</v>
      </c>
      <c r="G74" s="23" t="s">
        <v>229</v>
      </c>
      <c r="H74" s="23" t="s">
        <v>237</v>
      </c>
      <c r="I74" s="23" t="s">
        <v>66</v>
      </c>
      <c r="J74" s="24">
        <v>42423</v>
      </c>
      <c r="K74" s="21">
        <v>2</v>
      </c>
      <c r="L74" s="25">
        <v>1</v>
      </c>
      <c r="M74" s="22">
        <v>50</v>
      </c>
      <c r="N74" s="155">
        <f t="shared" si="5"/>
        <v>50</v>
      </c>
      <c r="O74" s="7"/>
      <c r="P74" s="27">
        <v>0</v>
      </c>
      <c r="Q74" s="27">
        <v>0</v>
      </c>
      <c r="R74" s="27">
        <v>0</v>
      </c>
      <c r="S74" s="27">
        <v>0</v>
      </c>
      <c r="T74" s="27">
        <v>1</v>
      </c>
      <c r="U74" s="28">
        <f t="shared" si="6"/>
        <v>1</v>
      </c>
      <c r="V74" s="21"/>
      <c r="W74" s="156">
        <f t="shared" si="4"/>
        <v>0</v>
      </c>
      <c r="X74" s="156">
        <f t="shared" si="4"/>
        <v>0</v>
      </c>
      <c r="Y74" s="156">
        <f t="shared" si="4"/>
        <v>0</v>
      </c>
      <c r="Z74" s="156">
        <f t="shared" si="4"/>
        <v>0</v>
      </c>
      <c r="AA74" s="156">
        <f t="shared" si="4"/>
        <v>50</v>
      </c>
    </row>
    <row r="75" spans="1:27" s="30" customFormat="1" ht="12.75" hidden="1" x14ac:dyDescent="0.2">
      <c r="A75" s="20" t="s">
        <v>248</v>
      </c>
      <c r="B75" s="30" t="s">
        <v>249</v>
      </c>
      <c r="C75" s="21">
        <v>68</v>
      </c>
      <c r="D75" s="32">
        <v>773.78</v>
      </c>
      <c r="E75" s="23" t="s">
        <v>93</v>
      </c>
      <c r="F75" s="23"/>
      <c r="G75" s="23"/>
      <c r="H75" s="23" t="s">
        <v>250</v>
      </c>
      <c r="I75" s="23" t="s">
        <v>65</v>
      </c>
      <c r="J75" s="33">
        <v>42425</v>
      </c>
      <c r="K75" s="21">
        <v>2</v>
      </c>
      <c r="L75" s="34">
        <v>1</v>
      </c>
      <c r="M75" s="32">
        <v>773.78</v>
      </c>
      <c r="N75" s="26">
        <f t="shared" si="5"/>
        <v>773.78</v>
      </c>
      <c r="O75" s="7"/>
      <c r="P75" s="27">
        <v>0</v>
      </c>
      <c r="Q75" s="27">
        <v>0</v>
      </c>
      <c r="R75" s="27">
        <v>0</v>
      </c>
      <c r="S75" s="27">
        <v>0</v>
      </c>
      <c r="T75" s="27">
        <v>1</v>
      </c>
      <c r="U75" s="28">
        <f t="shared" si="6"/>
        <v>1</v>
      </c>
      <c r="W75" s="29">
        <f t="shared" si="4"/>
        <v>0</v>
      </c>
      <c r="X75" s="29">
        <f t="shared" si="4"/>
        <v>0</v>
      </c>
      <c r="Y75" s="29">
        <f t="shared" si="4"/>
        <v>0</v>
      </c>
      <c r="Z75" s="29">
        <f t="shared" si="4"/>
        <v>0</v>
      </c>
      <c r="AA75" s="29">
        <f t="shared" si="4"/>
        <v>773.78</v>
      </c>
    </row>
    <row r="76" spans="1:27" s="30" customFormat="1" ht="12.75" hidden="1" x14ac:dyDescent="0.2">
      <c r="A76" s="20" t="s">
        <v>99</v>
      </c>
      <c r="B76" s="30" t="s">
        <v>251</v>
      </c>
      <c r="C76" s="21">
        <v>69</v>
      </c>
      <c r="D76" s="32">
        <v>695.28</v>
      </c>
      <c r="E76" s="23" t="s">
        <v>93</v>
      </c>
      <c r="F76" s="23" t="s">
        <v>252</v>
      </c>
      <c r="G76" s="23"/>
      <c r="H76" s="23" t="s">
        <v>253</v>
      </c>
      <c r="I76" s="23" t="s">
        <v>65</v>
      </c>
      <c r="J76" s="33">
        <v>42439</v>
      </c>
      <c r="K76" s="21">
        <v>3</v>
      </c>
      <c r="L76" s="34">
        <v>1</v>
      </c>
      <c r="M76" s="32">
        <v>695.28</v>
      </c>
      <c r="N76" s="26">
        <f t="shared" si="5"/>
        <v>695.28</v>
      </c>
      <c r="O76" s="7"/>
      <c r="P76" s="27">
        <v>0</v>
      </c>
      <c r="Q76" s="27">
        <v>0</v>
      </c>
      <c r="R76" s="27">
        <v>0</v>
      </c>
      <c r="S76" s="27">
        <v>0</v>
      </c>
      <c r="T76" s="27">
        <v>1</v>
      </c>
      <c r="U76" s="28">
        <f t="shared" si="6"/>
        <v>1</v>
      </c>
      <c r="W76" s="29">
        <f t="shared" si="4"/>
        <v>0</v>
      </c>
      <c r="X76" s="29">
        <f t="shared" si="4"/>
        <v>0</v>
      </c>
      <c r="Y76" s="29">
        <f t="shared" si="4"/>
        <v>0</v>
      </c>
      <c r="Z76" s="29">
        <f t="shared" si="4"/>
        <v>0</v>
      </c>
      <c r="AA76" s="29">
        <f t="shared" si="4"/>
        <v>695.28</v>
      </c>
    </row>
    <row r="77" spans="1:27" s="47" customFormat="1" ht="12.75" x14ac:dyDescent="0.2">
      <c r="A77" s="20" t="s">
        <v>166</v>
      </c>
      <c r="C77" s="48">
        <v>70</v>
      </c>
      <c r="D77" s="49">
        <v>25</v>
      </c>
      <c r="E77" s="46" t="s">
        <v>93</v>
      </c>
      <c r="F77" s="46" t="s">
        <v>228</v>
      </c>
      <c r="G77" s="46" t="s">
        <v>229</v>
      </c>
      <c r="H77" s="46" t="s">
        <v>237</v>
      </c>
      <c r="I77" s="46" t="s">
        <v>66</v>
      </c>
      <c r="J77" s="50">
        <v>42437</v>
      </c>
      <c r="K77" s="48">
        <v>3</v>
      </c>
      <c r="L77" s="51">
        <v>1</v>
      </c>
      <c r="M77" s="49">
        <v>25</v>
      </c>
      <c r="N77" s="155">
        <f t="shared" si="5"/>
        <v>25</v>
      </c>
      <c r="O77" s="52"/>
      <c r="P77" s="53">
        <v>0</v>
      </c>
      <c r="Q77" s="53">
        <v>0</v>
      </c>
      <c r="R77" s="53">
        <v>0</v>
      </c>
      <c r="S77" s="53">
        <v>0</v>
      </c>
      <c r="T77" s="53">
        <v>1</v>
      </c>
      <c r="U77" s="28">
        <f t="shared" si="6"/>
        <v>1</v>
      </c>
      <c r="W77" s="157">
        <f t="shared" si="4"/>
        <v>0</v>
      </c>
      <c r="X77" s="157">
        <f t="shared" si="4"/>
        <v>0</v>
      </c>
      <c r="Y77" s="157">
        <f t="shared" si="4"/>
        <v>0</v>
      </c>
      <c r="Z77" s="157">
        <f t="shared" si="4"/>
        <v>0</v>
      </c>
      <c r="AA77" s="157">
        <f t="shared" si="4"/>
        <v>25</v>
      </c>
    </row>
    <row r="78" spans="1:27" s="30" customFormat="1" ht="12.75" hidden="1" x14ac:dyDescent="0.2">
      <c r="A78" s="20" t="s">
        <v>103</v>
      </c>
      <c r="C78" s="21">
        <v>71</v>
      </c>
      <c r="D78" s="32">
        <v>261.7</v>
      </c>
      <c r="E78" s="23" t="s">
        <v>93</v>
      </c>
      <c r="F78" s="23"/>
      <c r="G78" s="23"/>
      <c r="H78" s="23" t="s">
        <v>254</v>
      </c>
      <c r="I78" s="23" t="s">
        <v>65</v>
      </c>
      <c r="J78" s="33">
        <v>42439</v>
      </c>
      <c r="K78" s="21">
        <v>3</v>
      </c>
      <c r="L78" s="34">
        <v>1</v>
      </c>
      <c r="M78" s="32">
        <v>261.7</v>
      </c>
      <c r="N78" s="26">
        <f t="shared" si="5"/>
        <v>261.7</v>
      </c>
      <c r="O78" s="7"/>
      <c r="P78" s="27">
        <v>0</v>
      </c>
      <c r="Q78" s="27">
        <v>0</v>
      </c>
      <c r="R78" s="27">
        <v>0</v>
      </c>
      <c r="S78" s="27">
        <v>0</v>
      </c>
      <c r="T78" s="27">
        <v>1</v>
      </c>
      <c r="U78" s="28">
        <f t="shared" si="6"/>
        <v>1</v>
      </c>
      <c r="W78" s="29">
        <f t="shared" si="4"/>
        <v>0</v>
      </c>
      <c r="X78" s="29">
        <f t="shared" si="4"/>
        <v>0</v>
      </c>
      <c r="Y78" s="29">
        <f t="shared" si="4"/>
        <v>0</v>
      </c>
      <c r="Z78" s="29">
        <f t="shared" si="4"/>
        <v>0</v>
      </c>
      <c r="AA78" s="29">
        <f t="shared" si="4"/>
        <v>261.7</v>
      </c>
    </row>
    <row r="79" spans="1:27" s="30" customFormat="1" ht="12.75" hidden="1" x14ac:dyDescent="0.2">
      <c r="A79" s="20" t="s">
        <v>99</v>
      </c>
      <c r="B79" s="21" t="s">
        <v>255</v>
      </c>
      <c r="C79" s="21">
        <v>72</v>
      </c>
      <c r="D79" s="32">
        <v>555.26</v>
      </c>
      <c r="E79" s="23" t="s">
        <v>93</v>
      </c>
      <c r="F79" s="23" t="s">
        <v>256</v>
      </c>
      <c r="G79" s="23"/>
      <c r="H79" s="23" t="s">
        <v>257</v>
      </c>
      <c r="I79" s="23" t="s">
        <v>65</v>
      </c>
      <c r="J79" s="33">
        <v>42657</v>
      </c>
      <c r="K79" s="21">
        <v>10</v>
      </c>
      <c r="L79" s="34">
        <v>1</v>
      </c>
      <c r="M79" s="32">
        <v>555.26</v>
      </c>
      <c r="N79" s="26">
        <f t="shared" si="5"/>
        <v>555.26</v>
      </c>
      <c r="O79" s="7"/>
      <c r="P79" s="27">
        <v>0</v>
      </c>
      <c r="Q79" s="27">
        <v>0</v>
      </c>
      <c r="R79" s="27">
        <v>0</v>
      </c>
      <c r="S79" s="27">
        <v>0</v>
      </c>
      <c r="T79" s="27">
        <v>1</v>
      </c>
      <c r="U79" s="28">
        <f t="shared" si="6"/>
        <v>1</v>
      </c>
      <c r="W79" s="29">
        <f t="shared" si="4"/>
        <v>0</v>
      </c>
      <c r="X79" s="29">
        <f t="shared" si="4"/>
        <v>0</v>
      </c>
      <c r="Y79" s="29">
        <f t="shared" si="4"/>
        <v>0</v>
      </c>
      <c r="Z79" s="29">
        <f t="shared" si="4"/>
        <v>0</v>
      </c>
      <c r="AA79" s="29">
        <f t="shared" si="4"/>
        <v>555.26</v>
      </c>
    </row>
    <row r="80" spans="1:27" s="30" customFormat="1" ht="12.75" hidden="1" x14ac:dyDescent="0.2">
      <c r="A80" s="20" t="s">
        <v>166</v>
      </c>
      <c r="B80" s="21"/>
      <c r="C80" s="21">
        <v>73</v>
      </c>
      <c r="D80" s="32">
        <v>130.38999999999999</v>
      </c>
      <c r="E80" s="23" t="s">
        <v>93</v>
      </c>
      <c r="F80" s="23"/>
      <c r="G80" s="23"/>
      <c r="H80" s="23" t="s">
        <v>258</v>
      </c>
      <c r="I80" s="23" t="s">
        <v>65</v>
      </c>
      <c r="J80" s="33">
        <v>42657</v>
      </c>
      <c r="K80" s="21">
        <v>10</v>
      </c>
      <c r="L80" s="34">
        <v>1</v>
      </c>
      <c r="M80" s="32">
        <v>130.38999999999999</v>
      </c>
      <c r="N80" s="26">
        <f t="shared" si="5"/>
        <v>130.38999999999999</v>
      </c>
      <c r="O80" s="7"/>
      <c r="P80" s="27">
        <v>0</v>
      </c>
      <c r="Q80" s="27">
        <v>0</v>
      </c>
      <c r="R80" s="27">
        <v>0</v>
      </c>
      <c r="S80" s="27">
        <v>0</v>
      </c>
      <c r="T80" s="27">
        <v>1</v>
      </c>
      <c r="U80" s="28">
        <f t="shared" si="6"/>
        <v>1</v>
      </c>
      <c r="W80" s="29">
        <f t="shared" si="4"/>
        <v>0</v>
      </c>
      <c r="X80" s="29">
        <f t="shared" si="4"/>
        <v>0</v>
      </c>
      <c r="Y80" s="29">
        <f t="shared" si="4"/>
        <v>0</v>
      </c>
      <c r="Z80" s="29">
        <f t="shared" si="4"/>
        <v>0</v>
      </c>
      <c r="AA80" s="29">
        <f t="shared" si="4"/>
        <v>130.38999999999999</v>
      </c>
    </row>
    <row r="81" spans="1:27" s="30" customFormat="1" ht="12.75" hidden="1" x14ac:dyDescent="0.2">
      <c r="A81" s="20" t="s">
        <v>103</v>
      </c>
      <c r="B81" s="21"/>
      <c r="C81" s="21">
        <v>74</v>
      </c>
      <c r="D81" s="32">
        <v>165</v>
      </c>
      <c r="E81" s="23" t="s">
        <v>93</v>
      </c>
      <c r="F81" s="23"/>
      <c r="G81" s="23"/>
      <c r="H81" s="23" t="s">
        <v>259</v>
      </c>
      <c r="I81" s="23" t="s">
        <v>65</v>
      </c>
      <c r="J81" s="33">
        <v>42480</v>
      </c>
      <c r="K81" s="21">
        <v>4</v>
      </c>
      <c r="L81" s="34">
        <v>1</v>
      </c>
      <c r="M81" s="32">
        <v>165</v>
      </c>
      <c r="N81" s="26">
        <f t="shared" si="5"/>
        <v>165</v>
      </c>
      <c r="O81" s="7"/>
      <c r="P81" s="27">
        <v>0</v>
      </c>
      <c r="Q81" s="27">
        <v>0</v>
      </c>
      <c r="R81" s="27">
        <v>0</v>
      </c>
      <c r="S81" s="27">
        <v>0</v>
      </c>
      <c r="T81" s="27">
        <v>1</v>
      </c>
      <c r="U81" s="28">
        <f t="shared" si="6"/>
        <v>1</v>
      </c>
      <c r="W81" s="29">
        <f t="shared" si="4"/>
        <v>0</v>
      </c>
      <c r="X81" s="29">
        <f t="shared" si="4"/>
        <v>0</v>
      </c>
      <c r="Y81" s="29">
        <f t="shared" si="4"/>
        <v>0</v>
      </c>
      <c r="Z81" s="29">
        <f t="shared" si="4"/>
        <v>0</v>
      </c>
      <c r="AA81" s="29">
        <f t="shared" si="4"/>
        <v>165</v>
      </c>
    </row>
    <row r="82" spans="1:27" s="30" customFormat="1" ht="12.75" hidden="1" x14ac:dyDescent="0.2">
      <c r="A82" s="20" t="s">
        <v>99</v>
      </c>
      <c r="B82" s="21" t="s">
        <v>260</v>
      </c>
      <c r="C82" s="21">
        <v>75</v>
      </c>
      <c r="D82" s="32">
        <v>359.94</v>
      </c>
      <c r="E82" s="23" t="s">
        <v>93</v>
      </c>
      <c r="F82" s="23" t="s">
        <v>252</v>
      </c>
      <c r="G82" s="23"/>
      <c r="H82" s="23" t="s">
        <v>261</v>
      </c>
      <c r="I82" s="23" t="s">
        <v>65</v>
      </c>
      <c r="J82" s="33">
        <v>42480</v>
      </c>
      <c r="K82" s="21">
        <v>4</v>
      </c>
      <c r="L82" s="34">
        <v>1</v>
      </c>
      <c r="M82" s="32">
        <v>359.94</v>
      </c>
      <c r="N82" s="26">
        <f t="shared" si="5"/>
        <v>359.94</v>
      </c>
      <c r="O82" s="7"/>
      <c r="P82" s="27">
        <v>0</v>
      </c>
      <c r="Q82" s="27">
        <v>0</v>
      </c>
      <c r="R82" s="27">
        <v>0</v>
      </c>
      <c r="S82" s="27">
        <v>0</v>
      </c>
      <c r="T82" s="27">
        <v>1</v>
      </c>
      <c r="U82" s="28">
        <f t="shared" si="6"/>
        <v>1</v>
      </c>
      <c r="W82" s="29">
        <f t="shared" si="4"/>
        <v>0</v>
      </c>
      <c r="X82" s="29">
        <f t="shared" si="4"/>
        <v>0</v>
      </c>
      <c r="Y82" s="29">
        <f t="shared" si="4"/>
        <v>0</v>
      </c>
      <c r="Z82" s="29">
        <f t="shared" si="4"/>
        <v>0</v>
      </c>
      <c r="AA82" s="29">
        <f t="shared" si="4"/>
        <v>359.94</v>
      </c>
    </row>
    <row r="83" spans="1:27" s="30" customFormat="1" ht="12.75" hidden="1" x14ac:dyDescent="0.2">
      <c r="A83" s="20" t="s">
        <v>99</v>
      </c>
      <c r="B83" s="21" t="s">
        <v>262</v>
      </c>
      <c r="C83" s="21">
        <v>76</v>
      </c>
      <c r="D83" s="32">
        <v>411.26</v>
      </c>
      <c r="E83" s="23" t="s">
        <v>93</v>
      </c>
      <c r="F83" s="23" t="s">
        <v>263</v>
      </c>
      <c r="G83" s="23"/>
      <c r="H83" s="23" t="s">
        <v>264</v>
      </c>
      <c r="I83" s="23" t="s">
        <v>65</v>
      </c>
      <c r="J83" s="33">
        <v>42605</v>
      </c>
      <c r="K83" s="21">
        <v>8</v>
      </c>
      <c r="L83" s="34">
        <v>1</v>
      </c>
      <c r="M83" s="32">
        <v>411.26</v>
      </c>
      <c r="N83" s="26">
        <f t="shared" si="5"/>
        <v>411.26</v>
      </c>
      <c r="O83" s="7"/>
      <c r="P83" s="27">
        <v>0</v>
      </c>
      <c r="Q83" s="27">
        <v>0</v>
      </c>
      <c r="R83" s="27">
        <v>0</v>
      </c>
      <c r="S83" s="27">
        <v>0</v>
      </c>
      <c r="T83" s="27">
        <v>1</v>
      </c>
      <c r="U83" s="28">
        <f t="shared" si="6"/>
        <v>1</v>
      </c>
      <c r="W83" s="29">
        <f t="shared" si="4"/>
        <v>0</v>
      </c>
      <c r="X83" s="29">
        <f t="shared" si="4"/>
        <v>0</v>
      </c>
      <c r="Y83" s="29">
        <f t="shared" si="4"/>
        <v>0</v>
      </c>
      <c r="Z83" s="29">
        <f t="shared" si="4"/>
        <v>0</v>
      </c>
      <c r="AA83" s="29">
        <f t="shared" si="4"/>
        <v>411.26</v>
      </c>
    </row>
    <row r="84" spans="1:27" s="30" customFormat="1" ht="12.75" hidden="1" x14ac:dyDescent="0.2">
      <c r="A84" s="20" t="s">
        <v>265</v>
      </c>
      <c r="B84" s="21" t="s">
        <v>266</v>
      </c>
      <c r="C84" s="21">
        <v>77</v>
      </c>
      <c r="D84" s="32">
        <v>718.73</v>
      </c>
      <c r="E84" s="23" t="s">
        <v>93</v>
      </c>
      <c r="F84" s="23"/>
      <c r="G84" s="23"/>
      <c r="H84" s="23" t="s">
        <v>267</v>
      </c>
      <c r="I84" s="23" t="s">
        <v>65</v>
      </c>
      <c r="J84" s="33">
        <v>42703</v>
      </c>
      <c r="K84" s="21">
        <v>11</v>
      </c>
      <c r="L84" s="34">
        <v>1</v>
      </c>
      <c r="M84" s="32">
        <v>718.73</v>
      </c>
      <c r="N84" s="26">
        <f t="shared" si="5"/>
        <v>718.73</v>
      </c>
      <c r="O84" s="7"/>
      <c r="P84" s="27">
        <v>0</v>
      </c>
      <c r="Q84" s="27">
        <v>0</v>
      </c>
      <c r="R84" s="27">
        <v>0</v>
      </c>
      <c r="S84" s="27">
        <v>0</v>
      </c>
      <c r="T84" s="27">
        <v>1</v>
      </c>
      <c r="U84" s="28">
        <f t="shared" si="6"/>
        <v>1</v>
      </c>
      <c r="W84" s="29">
        <f t="shared" si="4"/>
        <v>0</v>
      </c>
      <c r="X84" s="29">
        <f t="shared" si="4"/>
        <v>0</v>
      </c>
      <c r="Y84" s="29">
        <f t="shared" si="4"/>
        <v>0</v>
      </c>
      <c r="Z84" s="29">
        <f t="shared" si="4"/>
        <v>0</v>
      </c>
      <c r="AA84" s="29">
        <f t="shared" si="4"/>
        <v>718.73</v>
      </c>
    </row>
    <row r="85" spans="1:27" s="52" customFormat="1" ht="12.75" x14ac:dyDescent="0.2">
      <c r="A85" s="20" t="s">
        <v>166</v>
      </c>
      <c r="B85" s="48"/>
      <c r="C85" s="21">
        <v>78</v>
      </c>
      <c r="D85" s="55">
        <v>2220</v>
      </c>
      <c r="E85" s="46" t="s">
        <v>93</v>
      </c>
      <c r="F85" s="46" t="s">
        <v>228</v>
      </c>
      <c r="G85" s="46" t="s">
        <v>229</v>
      </c>
      <c r="H85" s="46" t="s">
        <v>314</v>
      </c>
      <c r="I85" s="46" t="s">
        <v>66</v>
      </c>
      <c r="J85" s="56">
        <v>42380</v>
      </c>
      <c r="K85" s="48">
        <v>1</v>
      </c>
      <c r="L85" s="57">
        <v>1</v>
      </c>
      <c r="M85" s="55">
        <v>2220</v>
      </c>
      <c r="N85" s="155">
        <f t="shared" si="5"/>
        <v>2220</v>
      </c>
      <c r="P85" s="53">
        <v>0</v>
      </c>
      <c r="Q85" s="53">
        <v>0</v>
      </c>
      <c r="R85" s="53">
        <v>0</v>
      </c>
      <c r="S85" s="53">
        <v>0</v>
      </c>
      <c r="T85" s="53">
        <v>1</v>
      </c>
      <c r="U85" s="28">
        <f t="shared" si="6"/>
        <v>1</v>
      </c>
      <c r="W85" s="157">
        <f t="shared" si="4"/>
        <v>0</v>
      </c>
      <c r="X85" s="157">
        <f t="shared" si="4"/>
        <v>0</v>
      </c>
      <c r="Y85" s="157">
        <f t="shared" si="4"/>
        <v>0</v>
      </c>
      <c r="Z85" s="157">
        <f t="shared" si="4"/>
        <v>0</v>
      </c>
      <c r="AA85" s="157">
        <f t="shared" si="4"/>
        <v>2220</v>
      </c>
    </row>
    <row r="86" spans="1:27" s="52" customFormat="1" ht="12.75" x14ac:dyDescent="0.2">
      <c r="A86" s="20" t="s">
        <v>166</v>
      </c>
      <c r="B86" s="48"/>
      <c r="C86" s="21">
        <v>79</v>
      </c>
      <c r="D86" s="55">
        <v>2220</v>
      </c>
      <c r="E86" s="46" t="s">
        <v>93</v>
      </c>
      <c r="F86" s="46" t="s">
        <v>228</v>
      </c>
      <c r="G86" s="46" t="s">
        <v>229</v>
      </c>
      <c r="H86" s="46" t="s">
        <v>315</v>
      </c>
      <c r="I86" s="46" t="s">
        <v>66</v>
      </c>
      <c r="J86" s="56">
        <v>42401</v>
      </c>
      <c r="K86" s="48">
        <v>2</v>
      </c>
      <c r="L86" s="57">
        <v>1</v>
      </c>
      <c r="M86" s="55">
        <v>2220</v>
      </c>
      <c r="N86" s="155">
        <f t="shared" si="5"/>
        <v>2220</v>
      </c>
      <c r="P86" s="53">
        <v>0</v>
      </c>
      <c r="Q86" s="53">
        <v>0</v>
      </c>
      <c r="R86" s="53">
        <v>0</v>
      </c>
      <c r="S86" s="53">
        <v>0</v>
      </c>
      <c r="T86" s="53">
        <v>1</v>
      </c>
      <c r="U86" s="28">
        <f t="shared" si="6"/>
        <v>1</v>
      </c>
      <c r="W86" s="157">
        <f t="shared" si="4"/>
        <v>0</v>
      </c>
      <c r="X86" s="157">
        <f t="shared" si="4"/>
        <v>0</v>
      </c>
      <c r="Y86" s="157">
        <f t="shared" si="4"/>
        <v>0</v>
      </c>
      <c r="Z86" s="157">
        <f t="shared" si="4"/>
        <v>0</v>
      </c>
      <c r="AA86" s="157">
        <f t="shared" si="4"/>
        <v>2220</v>
      </c>
    </row>
    <row r="87" spans="1:27" s="52" customFormat="1" ht="12.75" x14ac:dyDescent="0.2">
      <c r="A87" s="20" t="s">
        <v>166</v>
      </c>
      <c r="B87" s="48"/>
      <c r="C87" s="21">
        <v>80</v>
      </c>
      <c r="D87" s="55">
        <v>2220</v>
      </c>
      <c r="E87" s="46" t="s">
        <v>93</v>
      </c>
      <c r="F87" s="46" t="s">
        <v>228</v>
      </c>
      <c r="G87" s="46" t="s">
        <v>229</v>
      </c>
      <c r="H87" s="46" t="s">
        <v>316</v>
      </c>
      <c r="I87" s="46" t="s">
        <v>66</v>
      </c>
      <c r="J87" s="56">
        <v>42430</v>
      </c>
      <c r="K87" s="48">
        <v>3</v>
      </c>
      <c r="L87" s="57">
        <v>1</v>
      </c>
      <c r="M87" s="55">
        <v>2220</v>
      </c>
      <c r="N87" s="155">
        <f t="shared" si="5"/>
        <v>2220</v>
      </c>
      <c r="P87" s="53">
        <v>0</v>
      </c>
      <c r="Q87" s="53">
        <v>0</v>
      </c>
      <c r="R87" s="53">
        <v>0</v>
      </c>
      <c r="S87" s="53">
        <v>0</v>
      </c>
      <c r="T87" s="53">
        <v>1</v>
      </c>
      <c r="U87" s="28">
        <f t="shared" si="6"/>
        <v>1</v>
      </c>
      <c r="W87" s="157">
        <f t="shared" si="4"/>
        <v>0</v>
      </c>
      <c r="X87" s="157">
        <f t="shared" si="4"/>
        <v>0</v>
      </c>
      <c r="Y87" s="157">
        <f t="shared" si="4"/>
        <v>0</v>
      </c>
      <c r="Z87" s="157">
        <f t="shared" si="4"/>
        <v>0</v>
      </c>
      <c r="AA87" s="157">
        <f t="shared" si="4"/>
        <v>2220</v>
      </c>
    </row>
    <row r="88" spans="1:27" s="52" customFormat="1" ht="12.75" x14ac:dyDescent="0.2">
      <c r="A88" s="20" t="s">
        <v>166</v>
      </c>
      <c r="B88" s="48"/>
      <c r="C88" s="21">
        <v>81</v>
      </c>
      <c r="D88" s="55">
        <v>2220</v>
      </c>
      <c r="E88" s="46" t="s">
        <v>93</v>
      </c>
      <c r="F88" s="46" t="s">
        <v>228</v>
      </c>
      <c r="G88" s="46" t="s">
        <v>229</v>
      </c>
      <c r="H88" s="46" t="s">
        <v>317</v>
      </c>
      <c r="I88" s="46" t="s">
        <v>66</v>
      </c>
      <c r="J88" s="56">
        <v>42461</v>
      </c>
      <c r="K88" s="48">
        <v>4</v>
      </c>
      <c r="L88" s="57">
        <v>1</v>
      </c>
      <c r="M88" s="55">
        <v>2220</v>
      </c>
      <c r="N88" s="155">
        <f t="shared" si="5"/>
        <v>2220</v>
      </c>
      <c r="P88" s="53">
        <v>0</v>
      </c>
      <c r="Q88" s="53">
        <v>0</v>
      </c>
      <c r="R88" s="53">
        <v>0</v>
      </c>
      <c r="S88" s="53">
        <v>0</v>
      </c>
      <c r="T88" s="53">
        <v>1</v>
      </c>
      <c r="U88" s="28">
        <f t="shared" si="6"/>
        <v>1</v>
      </c>
      <c r="W88" s="157">
        <f t="shared" ref="W88:AA103" si="7">$N88*P88</f>
        <v>0</v>
      </c>
      <c r="X88" s="157">
        <f t="shared" si="7"/>
        <v>0</v>
      </c>
      <c r="Y88" s="157">
        <f t="shared" si="7"/>
        <v>0</v>
      </c>
      <c r="Z88" s="157">
        <f t="shared" si="7"/>
        <v>0</v>
      </c>
      <c r="AA88" s="157">
        <f t="shared" si="7"/>
        <v>2220</v>
      </c>
    </row>
    <row r="89" spans="1:27" s="52" customFormat="1" ht="12.75" x14ac:dyDescent="0.2">
      <c r="A89" s="20" t="s">
        <v>166</v>
      </c>
      <c r="B89" s="48"/>
      <c r="C89" s="21">
        <v>82</v>
      </c>
      <c r="D89" s="55">
        <v>2220</v>
      </c>
      <c r="E89" s="46" t="s">
        <v>93</v>
      </c>
      <c r="F89" s="46" t="s">
        <v>228</v>
      </c>
      <c r="G89" s="46" t="s">
        <v>229</v>
      </c>
      <c r="H89" s="46" t="s">
        <v>318</v>
      </c>
      <c r="I89" s="46" t="s">
        <v>66</v>
      </c>
      <c r="J89" s="56">
        <v>42492</v>
      </c>
      <c r="K89" s="48">
        <v>5</v>
      </c>
      <c r="L89" s="57">
        <v>1</v>
      </c>
      <c r="M89" s="55">
        <v>2220</v>
      </c>
      <c r="N89" s="155">
        <f t="shared" si="5"/>
        <v>2220</v>
      </c>
      <c r="O89" s="77"/>
      <c r="P89" s="53">
        <v>0</v>
      </c>
      <c r="Q89" s="53">
        <v>0</v>
      </c>
      <c r="R89" s="53">
        <v>0</v>
      </c>
      <c r="S89" s="53">
        <v>0</v>
      </c>
      <c r="T89" s="53">
        <v>1</v>
      </c>
      <c r="U89" s="28">
        <f t="shared" si="6"/>
        <v>1</v>
      </c>
      <c r="W89" s="157">
        <f t="shared" si="7"/>
        <v>0</v>
      </c>
      <c r="X89" s="157">
        <f t="shared" si="7"/>
        <v>0</v>
      </c>
      <c r="Y89" s="157">
        <f t="shared" si="7"/>
        <v>0</v>
      </c>
      <c r="Z89" s="157">
        <f t="shared" si="7"/>
        <v>0</v>
      </c>
      <c r="AA89" s="157">
        <f t="shared" si="7"/>
        <v>2220</v>
      </c>
    </row>
    <row r="90" spans="1:27" s="52" customFormat="1" ht="12.75" x14ac:dyDescent="0.2">
      <c r="A90" s="20" t="s">
        <v>166</v>
      </c>
      <c r="B90" s="48"/>
      <c r="C90" s="21">
        <v>83</v>
      </c>
      <c r="D90" s="55">
        <v>2220</v>
      </c>
      <c r="E90" s="46" t="s">
        <v>93</v>
      </c>
      <c r="F90" s="46" t="s">
        <v>228</v>
      </c>
      <c r="G90" s="46" t="s">
        <v>229</v>
      </c>
      <c r="H90" s="46" t="s">
        <v>319</v>
      </c>
      <c r="I90" s="46" t="s">
        <v>66</v>
      </c>
      <c r="J90" s="56">
        <v>42522</v>
      </c>
      <c r="K90" s="48">
        <v>6</v>
      </c>
      <c r="L90" s="57">
        <v>1</v>
      </c>
      <c r="M90" s="55">
        <v>2220</v>
      </c>
      <c r="N90" s="155">
        <f t="shared" si="5"/>
        <v>2220</v>
      </c>
      <c r="O90" s="77"/>
      <c r="P90" s="53">
        <v>0</v>
      </c>
      <c r="Q90" s="53">
        <v>0</v>
      </c>
      <c r="R90" s="53">
        <v>0</v>
      </c>
      <c r="S90" s="53">
        <v>0</v>
      </c>
      <c r="T90" s="53">
        <v>1</v>
      </c>
      <c r="U90" s="28">
        <f t="shared" si="6"/>
        <v>1</v>
      </c>
      <c r="W90" s="157">
        <f t="shared" si="7"/>
        <v>0</v>
      </c>
      <c r="X90" s="157">
        <f t="shared" si="7"/>
        <v>0</v>
      </c>
      <c r="Y90" s="157">
        <f t="shared" si="7"/>
        <v>0</v>
      </c>
      <c r="Z90" s="157">
        <f t="shared" si="7"/>
        <v>0</v>
      </c>
      <c r="AA90" s="157">
        <f t="shared" si="7"/>
        <v>2220</v>
      </c>
    </row>
    <row r="91" spans="1:27" s="52" customFormat="1" ht="12.75" x14ac:dyDescent="0.2">
      <c r="A91" s="20" t="s">
        <v>321</v>
      </c>
      <c r="B91" s="75">
        <v>201600000000012</v>
      </c>
      <c r="C91" s="21">
        <v>84</v>
      </c>
      <c r="D91" s="55">
        <v>37210</v>
      </c>
      <c r="E91" s="46" t="s">
        <v>23</v>
      </c>
      <c r="F91" s="46" t="s">
        <v>322</v>
      </c>
      <c r="G91" s="46" t="s">
        <v>323</v>
      </c>
      <c r="H91" s="46" t="s">
        <v>183</v>
      </c>
      <c r="I91" s="46" t="s">
        <v>66</v>
      </c>
      <c r="J91" s="56">
        <v>42397</v>
      </c>
      <c r="K91" s="48">
        <v>1</v>
      </c>
      <c r="L91" s="57">
        <v>0.1</v>
      </c>
      <c r="M91" s="74">
        <v>37210</v>
      </c>
      <c r="N91" s="155">
        <f t="shared" si="5"/>
        <v>3721</v>
      </c>
      <c r="O91" s="78"/>
      <c r="P91" s="53">
        <v>0.25</v>
      </c>
      <c r="Q91" s="53">
        <v>0.25</v>
      </c>
      <c r="R91" s="53">
        <v>0.25</v>
      </c>
      <c r="S91" s="53">
        <v>0.25</v>
      </c>
      <c r="T91" s="53">
        <v>0</v>
      </c>
      <c r="U91" s="28">
        <f t="shared" si="6"/>
        <v>1</v>
      </c>
      <c r="W91" s="157">
        <f t="shared" si="7"/>
        <v>930.25</v>
      </c>
      <c r="X91" s="157">
        <f t="shared" si="7"/>
        <v>930.25</v>
      </c>
      <c r="Y91" s="157">
        <f t="shared" si="7"/>
        <v>930.25</v>
      </c>
      <c r="Z91" s="157">
        <f t="shared" si="7"/>
        <v>930.25</v>
      </c>
      <c r="AA91" s="157">
        <f t="shared" si="7"/>
        <v>0</v>
      </c>
    </row>
    <row r="92" spans="1:27" s="52" customFormat="1" ht="12.75" x14ac:dyDescent="0.2">
      <c r="A92" s="20" t="s">
        <v>321</v>
      </c>
      <c r="B92" s="75">
        <v>201600000000013</v>
      </c>
      <c r="C92" s="21">
        <v>85</v>
      </c>
      <c r="D92" s="55">
        <v>31227</v>
      </c>
      <c r="E92" s="46" t="s">
        <v>23</v>
      </c>
      <c r="F92" s="46" t="s">
        <v>322</v>
      </c>
      <c r="G92" s="46" t="s">
        <v>323</v>
      </c>
      <c r="H92" s="46" t="s">
        <v>183</v>
      </c>
      <c r="I92" s="46" t="s">
        <v>66</v>
      </c>
      <c r="J92" s="56">
        <v>42425</v>
      </c>
      <c r="K92" s="48">
        <v>2</v>
      </c>
      <c r="L92" s="57">
        <v>0.1</v>
      </c>
      <c r="M92" s="74">
        <v>31227</v>
      </c>
      <c r="N92" s="155">
        <f t="shared" si="5"/>
        <v>3122.7000000000003</v>
      </c>
      <c r="O92" s="78"/>
      <c r="P92" s="53">
        <v>0.25</v>
      </c>
      <c r="Q92" s="53">
        <v>0.25</v>
      </c>
      <c r="R92" s="53">
        <v>0.25</v>
      </c>
      <c r="S92" s="53">
        <v>0.25</v>
      </c>
      <c r="T92" s="53">
        <v>0</v>
      </c>
      <c r="U92" s="28">
        <f t="shared" si="6"/>
        <v>1</v>
      </c>
      <c r="W92" s="157">
        <f t="shared" si="7"/>
        <v>780.67500000000007</v>
      </c>
      <c r="X92" s="157">
        <f t="shared" si="7"/>
        <v>780.67500000000007</v>
      </c>
      <c r="Y92" s="157">
        <f t="shared" si="7"/>
        <v>780.67500000000007</v>
      </c>
      <c r="Z92" s="157">
        <f t="shared" si="7"/>
        <v>780.67500000000007</v>
      </c>
      <c r="AA92" s="157">
        <f t="shared" si="7"/>
        <v>0</v>
      </c>
    </row>
    <row r="93" spans="1:27" s="52" customFormat="1" ht="12.75" x14ac:dyDescent="0.2">
      <c r="A93" s="20" t="s">
        <v>321</v>
      </c>
      <c r="B93" s="75">
        <v>201600000000016</v>
      </c>
      <c r="C93" s="21">
        <v>86</v>
      </c>
      <c r="D93" s="55">
        <v>31226.69</v>
      </c>
      <c r="E93" s="46" t="s">
        <v>23</v>
      </c>
      <c r="F93" s="46" t="s">
        <v>322</v>
      </c>
      <c r="G93" s="46" t="s">
        <v>323</v>
      </c>
      <c r="H93" s="46" t="s">
        <v>183</v>
      </c>
      <c r="I93" s="46" t="s">
        <v>66</v>
      </c>
      <c r="J93" s="56">
        <v>42458</v>
      </c>
      <c r="K93" s="48">
        <v>3</v>
      </c>
      <c r="L93" s="57">
        <v>0.1</v>
      </c>
      <c r="M93" s="74">
        <v>31226.69</v>
      </c>
      <c r="N93" s="155">
        <f t="shared" si="5"/>
        <v>3122.6689999999999</v>
      </c>
      <c r="O93" s="78"/>
      <c r="P93" s="53">
        <v>0.25</v>
      </c>
      <c r="Q93" s="53">
        <v>0.25</v>
      </c>
      <c r="R93" s="53">
        <v>0.25</v>
      </c>
      <c r="S93" s="53">
        <v>0.25</v>
      </c>
      <c r="T93" s="53">
        <v>0</v>
      </c>
      <c r="U93" s="28">
        <f t="shared" si="6"/>
        <v>1</v>
      </c>
      <c r="W93" s="157">
        <f t="shared" si="7"/>
        <v>780.66724999999997</v>
      </c>
      <c r="X93" s="157">
        <f t="shared" si="7"/>
        <v>780.66724999999997</v>
      </c>
      <c r="Y93" s="157">
        <f t="shared" si="7"/>
        <v>780.66724999999997</v>
      </c>
      <c r="Z93" s="157">
        <f t="shared" si="7"/>
        <v>780.66724999999997</v>
      </c>
      <c r="AA93" s="157">
        <f t="shared" si="7"/>
        <v>0</v>
      </c>
    </row>
    <row r="94" spans="1:27" s="52" customFormat="1" ht="12.75" x14ac:dyDescent="0.2">
      <c r="A94" s="20" t="s">
        <v>321</v>
      </c>
      <c r="B94" s="75">
        <v>201600000000019</v>
      </c>
      <c r="C94" s="21">
        <v>87</v>
      </c>
      <c r="D94" s="55">
        <v>31226.69</v>
      </c>
      <c r="E94" s="46" t="s">
        <v>23</v>
      </c>
      <c r="F94" s="46" t="s">
        <v>322</v>
      </c>
      <c r="G94" s="46" t="s">
        <v>323</v>
      </c>
      <c r="H94" s="46" t="s">
        <v>183</v>
      </c>
      <c r="I94" s="46" t="s">
        <v>66</v>
      </c>
      <c r="J94" s="56">
        <v>42488</v>
      </c>
      <c r="K94" s="48">
        <v>4</v>
      </c>
      <c r="L94" s="57">
        <v>0.1</v>
      </c>
      <c r="M94" s="74">
        <v>31226.69</v>
      </c>
      <c r="N94" s="155">
        <f t="shared" si="5"/>
        <v>3122.6689999999999</v>
      </c>
      <c r="O94" s="78"/>
      <c r="P94" s="53">
        <v>0.25</v>
      </c>
      <c r="Q94" s="53">
        <v>0.25</v>
      </c>
      <c r="R94" s="53">
        <v>0.25</v>
      </c>
      <c r="S94" s="53">
        <v>0.25</v>
      </c>
      <c r="T94" s="53">
        <v>0</v>
      </c>
      <c r="U94" s="28">
        <f t="shared" si="6"/>
        <v>1</v>
      </c>
      <c r="W94" s="157">
        <f t="shared" si="7"/>
        <v>780.66724999999997</v>
      </c>
      <c r="X94" s="157">
        <f t="shared" si="7"/>
        <v>780.66724999999997</v>
      </c>
      <c r="Y94" s="157">
        <f t="shared" si="7"/>
        <v>780.66724999999997</v>
      </c>
      <c r="Z94" s="157">
        <f t="shared" si="7"/>
        <v>780.66724999999997</v>
      </c>
      <c r="AA94" s="157">
        <f t="shared" si="7"/>
        <v>0</v>
      </c>
    </row>
    <row r="95" spans="1:27" s="52" customFormat="1" ht="12.75" x14ac:dyDescent="0.2">
      <c r="A95" s="20" t="s">
        <v>321</v>
      </c>
      <c r="B95" s="75">
        <v>201600000000023</v>
      </c>
      <c r="C95" s="21">
        <v>88</v>
      </c>
      <c r="D95" s="55">
        <v>28557</v>
      </c>
      <c r="E95" s="46" t="s">
        <v>23</v>
      </c>
      <c r="F95" s="46" t="s">
        <v>322</v>
      </c>
      <c r="G95" s="46" t="s">
        <v>323</v>
      </c>
      <c r="H95" s="46" t="s">
        <v>183</v>
      </c>
      <c r="I95" s="46" t="s">
        <v>66</v>
      </c>
      <c r="J95" s="56">
        <v>42517</v>
      </c>
      <c r="K95" s="48">
        <v>5</v>
      </c>
      <c r="L95" s="57">
        <v>0.1</v>
      </c>
      <c r="M95" s="74">
        <v>28557</v>
      </c>
      <c r="N95" s="155">
        <f t="shared" si="5"/>
        <v>2855.7000000000003</v>
      </c>
      <c r="O95" s="78"/>
      <c r="P95" s="53">
        <v>0.25</v>
      </c>
      <c r="Q95" s="53">
        <v>0.25</v>
      </c>
      <c r="R95" s="53">
        <v>0.25</v>
      </c>
      <c r="S95" s="53">
        <v>0.25</v>
      </c>
      <c r="T95" s="53">
        <v>0</v>
      </c>
      <c r="U95" s="28">
        <f t="shared" si="6"/>
        <v>1</v>
      </c>
      <c r="W95" s="157">
        <f t="shared" si="7"/>
        <v>713.92500000000007</v>
      </c>
      <c r="X95" s="157">
        <f t="shared" si="7"/>
        <v>713.92500000000007</v>
      </c>
      <c r="Y95" s="157">
        <f t="shared" si="7"/>
        <v>713.92500000000007</v>
      </c>
      <c r="Z95" s="157">
        <f t="shared" si="7"/>
        <v>713.92500000000007</v>
      </c>
      <c r="AA95" s="157">
        <f t="shared" si="7"/>
        <v>0</v>
      </c>
    </row>
    <row r="96" spans="1:27" s="52" customFormat="1" ht="12.75" x14ac:dyDescent="0.2">
      <c r="A96" s="20" t="s">
        <v>321</v>
      </c>
      <c r="B96" s="75">
        <v>201600000000024</v>
      </c>
      <c r="C96" s="21">
        <v>89</v>
      </c>
      <c r="D96" s="55">
        <v>28557</v>
      </c>
      <c r="E96" s="46" t="s">
        <v>23</v>
      </c>
      <c r="F96" s="46" t="s">
        <v>322</v>
      </c>
      <c r="G96" s="46" t="s">
        <v>323</v>
      </c>
      <c r="H96" s="46" t="s">
        <v>183</v>
      </c>
      <c r="I96" s="46" t="s">
        <v>66</v>
      </c>
      <c r="J96" s="56">
        <v>42550</v>
      </c>
      <c r="K96" s="48">
        <v>6</v>
      </c>
      <c r="L96" s="57">
        <v>0.1</v>
      </c>
      <c r="M96" s="74">
        <v>28557</v>
      </c>
      <c r="N96" s="155">
        <f t="shared" si="5"/>
        <v>2855.7000000000003</v>
      </c>
      <c r="O96" s="78"/>
      <c r="P96" s="53">
        <v>0.25</v>
      </c>
      <c r="Q96" s="53">
        <v>0.25</v>
      </c>
      <c r="R96" s="53">
        <v>0.25</v>
      </c>
      <c r="S96" s="53">
        <v>0.25</v>
      </c>
      <c r="T96" s="53">
        <v>0</v>
      </c>
      <c r="U96" s="28">
        <f t="shared" si="6"/>
        <v>1</v>
      </c>
      <c r="W96" s="157">
        <f t="shared" si="7"/>
        <v>713.92500000000007</v>
      </c>
      <c r="X96" s="157">
        <f t="shared" si="7"/>
        <v>713.92500000000007</v>
      </c>
      <c r="Y96" s="157">
        <f t="shared" si="7"/>
        <v>713.92500000000007</v>
      </c>
      <c r="Z96" s="157">
        <f t="shared" si="7"/>
        <v>713.92500000000007</v>
      </c>
      <c r="AA96" s="157">
        <f t="shared" si="7"/>
        <v>0</v>
      </c>
    </row>
    <row r="97" spans="1:27" s="52" customFormat="1" ht="12.75" x14ac:dyDescent="0.2">
      <c r="A97" s="20" t="s">
        <v>321</v>
      </c>
      <c r="B97" s="75">
        <v>201600000000028</v>
      </c>
      <c r="C97" s="21">
        <v>90</v>
      </c>
      <c r="D97" s="55">
        <v>28557</v>
      </c>
      <c r="E97" s="46" t="s">
        <v>23</v>
      </c>
      <c r="F97" s="46" t="s">
        <v>322</v>
      </c>
      <c r="G97" s="46" t="s">
        <v>323</v>
      </c>
      <c r="H97" s="46" t="s">
        <v>183</v>
      </c>
      <c r="I97" s="46" t="s">
        <v>66</v>
      </c>
      <c r="J97" s="56">
        <v>42579</v>
      </c>
      <c r="K97" s="48">
        <v>7</v>
      </c>
      <c r="L97" s="57">
        <v>0.1</v>
      </c>
      <c r="M97" s="74">
        <v>28557</v>
      </c>
      <c r="N97" s="155">
        <f t="shared" si="5"/>
        <v>2855.7000000000003</v>
      </c>
      <c r="O97" s="78"/>
      <c r="P97" s="53">
        <v>0.25</v>
      </c>
      <c r="Q97" s="53">
        <v>0.25</v>
      </c>
      <c r="R97" s="53">
        <v>0.25</v>
      </c>
      <c r="S97" s="53">
        <v>0.25</v>
      </c>
      <c r="T97" s="53">
        <v>0</v>
      </c>
      <c r="U97" s="28">
        <f t="shared" si="6"/>
        <v>1</v>
      </c>
      <c r="W97" s="157">
        <f t="shared" si="7"/>
        <v>713.92500000000007</v>
      </c>
      <c r="X97" s="157">
        <f t="shared" si="7"/>
        <v>713.92500000000007</v>
      </c>
      <c r="Y97" s="157">
        <f t="shared" si="7"/>
        <v>713.92500000000007</v>
      </c>
      <c r="Z97" s="157">
        <f t="shared" si="7"/>
        <v>713.92500000000007</v>
      </c>
      <c r="AA97" s="157">
        <f t="shared" si="7"/>
        <v>0</v>
      </c>
    </row>
    <row r="98" spans="1:27" s="52" customFormat="1" ht="12.75" x14ac:dyDescent="0.2">
      <c r="A98" s="20" t="s">
        <v>321</v>
      </c>
      <c r="B98" s="75">
        <v>201600000000029</v>
      </c>
      <c r="C98" s="21">
        <v>91</v>
      </c>
      <c r="D98" s="55">
        <v>28557</v>
      </c>
      <c r="E98" s="46" t="s">
        <v>23</v>
      </c>
      <c r="F98" s="46" t="s">
        <v>322</v>
      </c>
      <c r="G98" s="46" t="s">
        <v>323</v>
      </c>
      <c r="H98" s="46" t="s">
        <v>183</v>
      </c>
      <c r="I98" s="46" t="s">
        <v>66</v>
      </c>
      <c r="J98" s="56">
        <v>42611</v>
      </c>
      <c r="K98" s="48">
        <v>8</v>
      </c>
      <c r="L98" s="57">
        <v>0.1</v>
      </c>
      <c r="M98" s="74">
        <v>28557</v>
      </c>
      <c r="N98" s="155">
        <f t="shared" si="5"/>
        <v>2855.7000000000003</v>
      </c>
      <c r="O98" s="78"/>
      <c r="P98" s="53">
        <v>0.25</v>
      </c>
      <c r="Q98" s="53">
        <v>0.25</v>
      </c>
      <c r="R98" s="53">
        <v>0.25</v>
      </c>
      <c r="S98" s="53">
        <v>0.25</v>
      </c>
      <c r="T98" s="53">
        <v>0</v>
      </c>
      <c r="U98" s="28">
        <f t="shared" si="6"/>
        <v>1</v>
      </c>
      <c r="W98" s="157">
        <f t="shared" si="7"/>
        <v>713.92500000000007</v>
      </c>
      <c r="X98" s="157">
        <f t="shared" si="7"/>
        <v>713.92500000000007</v>
      </c>
      <c r="Y98" s="157">
        <f t="shared" si="7"/>
        <v>713.92500000000007</v>
      </c>
      <c r="Z98" s="157">
        <f t="shared" si="7"/>
        <v>713.92500000000007</v>
      </c>
      <c r="AA98" s="157">
        <f t="shared" si="7"/>
        <v>0</v>
      </c>
    </row>
    <row r="99" spans="1:27" s="52" customFormat="1" ht="12.75" x14ac:dyDescent="0.2">
      <c r="A99" s="20" t="s">
        <v>321</v>
      </c>
      <c r="B99" s="75">
        <v>201600000000032</v>
      </c>
      <c r="C99" s="21">
        <v>92</v>
      </c>
      <c r="D99" s="55">
        <v>28557</v>
      </c>
      <c r="E99" s="46" t="s">
        <v>23</v>
      </c>
      <c r="F99" s="46" t="s">
        <v>322</v>
      </c>
      <c r="G99" s="46" t="s">
        <v>323</v>
      </c>
      <c r="H99" s="46" t="s">
        <v>183</v>
      </c>
      <c r="I99" s="46" t="s">
        <v>66</v>
      </c>
      <c r="J99" s="56">
        <v>42642</v>
      </c>
      <c r="K99" s="48">
        <v>9</v>
      </c>
      <c r="L99" s="57">
        <v>0.1</v>
      </c>
      <c r="M99" s="74">
        <v>28557</v>
      </c>
      <c r="N99" s="155">
        <f t="shared" si="5"/>
        <v>2855.7000000000003</v>
      </c>
      <c r="O99" s="78"/>
      <c r="P99" s="53">
        <v>0.25</v>
      </c>
      <c r="Q99" s="53">
        <v>0.25</v>
      </c>
      <c r="R99" s="53">
        <v>0.25</v>
      </c>
      <c r="S99" s="53">
        <v>0.25</v>
      </c>
      <c r="T99" s="53">
        <v>0</v>
      </c>
      <c r="U99" s="28">
        <f t="shared" si="6"/>
        <v>1</v>
      </c>
      <c r="W99" s="157">
        <f t="shared" si="7"/>
        <v>713.92500000000007</v>
      </c>
      <c r="X99" s="157">
        <f t="shared" si="7"/>
        <v>713.92500000000007</v>
      </c>
      <c r="Y99" s="157">
        <f t="shared" si="7"/>
        <v>713.92500000000007</v>
      </c>
      <c r="Z99" s="157">
        <f t="shared" si="7"/>
        <v>713.92500000000007</v>
      </c>
      <c r="AA99" s="157">
        <f t="shared" si="7"/>
        <v>0</v>
      </c>
    </row>
    <row r="100" spans="1:27" s="52" customFormat="1" ht="12.75" x14ac:dyDescent="0.2">
      <c r="A100" s="20" t="s">
        <v>321</v>
      </c>
      <c r="B100" s="75">
        <v>201600000000035</v>
      </c>
      <c r="C100" s="21">
        <v>93</v>
      </c>
      <c r="D100" s="55">
        <v>28557</v>
      </c>
      <c r="E100" s="46" t="s">
        <v>23</v>
      </c>
      <c r="F100" s="46" t="s">
        <v>322</v>
      </c>
      <c r="G100" s="46" t="s">
        <v>323</v>
      </c>
      <c r="H100" s="46" t="s">
        <v>183</v>
      </c>
      <c r="I100" s="46" t="s">
        <v>66</v>
      </c>
      <c r="J100" s="56">
        <v>42674</v>
      </c>
      <c r="K100" s="48">
        <v>10</v>
      </c>
      <c r="L100" s="57">
        <v>0.1</v>
      </c>
      <c r="M100" s="74">
        <v>28557</v>
      </c>
      <c r="N100" s="155">
        <f t="shared" si="5"/>
        <v>2855.7000000000003</v>
      </c>
      <c r="O100" s="78"/>
      <c r="P100" s="53">
        <v>0.25</v>
      </c>
      <c r="Q100" s="53">
        <v>0.25</v>
      </c>
      <c r="R100" s="53">
        <v>0.25</v>
      </c>
      <c r="S100" s="53">
        <v>0.25</v>
      </c>
      <c r="T100" s="53">
        <v>0</v>
      </c>
      <c r="U100" s="28">
        <f t="shared" si="6"/>
        <v>1</v>
      </c>
      <c r="W100" s="157">
        <f t="shared" si="7"/>
        <v>713.92500000000007</v>
      </c>
      <c r="X100" s="157">
        <f t="shared" si="7"/>
        <v>713.92500000000007</v>
      </c>
      <c r="Y100" s="157">
        <f t="shared" si="7"/>
        <v>713.92500000000007</v>
      </c>
      <c r="Z100" s="157">
        <f t="shared" si="7"/>
        <v>713.92500000000007</v>
      </c>
      <c r="AA100" s="157">
        <f t="shared" si="7"/>
        <v>0</v>
      </c>
    </row>
    <row r="101" spans="1:27" s="52" customFormat="1" ht="12.75" x14ac:dyDescent="0.2">
      <c r="A101" s="20" t="s">
        <v>321</v>
      </c>
      <c r="B101" s="75">
        <v>201600000000038</v>
      </c>
      <c r="C101" s="21">
        <v>94</v>
      </c>
      <c r="D101" s="55">
        <v>28557</v>
      </c>
      <c r="E101" s="46" t="s">
        <v>23</v>
      </c>
      <c r="F101" s="46" t="s">
        <v>322</v>
      </c>
      <c r="G101" s="46" t="s">
        <v>323</v>
      </c>
      <c r="H101" s="46" t="s">
        <v>183</v>
      </c>
      <c r="I101" s="46" t="s">
        <v>66</v>
      </c>
      <c r="J101" s="56">
        <v>42703</v>
      </c>
      <c r="K101" s="48">
        <v>11</v>
      </c>
      <c r="L101" s="57">
        <v>0.1</v>
      </c>
      <c r="M101" s="74">
        <v>28557</v>
      </c>
      <c r="N101" s="155">
        <f t="shared" si="5"/>
        <v>2855.7000000000003</v>
      </c>
      <c r="O101" s="78"/>
      <c r="P101" s="53">
        <v>0.25</v>
      </c>
      <c r="Q101" s="53">
        <v>0.25</v>
      </c>
      <c r="R101" s="53">
        <v>0.25</v>
      </c>
      <c r="S101" s="53">
        <v>0.25</v>
      </c>
      <c r="T101" s="53">
        <v>0</v>
      </c>
      <c r="U101" s="28">
        <f t="shared" si="6"/>
        <v>1</v>
      </c>
      <c r="W101" s="157">
        <f t="shared" si="7"/>
        <v>713.92500000000007</v>
      </c>
      <c r="X101" s="157">
        <f t="shared" si="7"/>
        <v>713.92500000000007</v>
      </c>
      <c r="Y101" s="157">
        <f t="shared" si="7"/>
        <v>713.92500000000007</v>
      </c>
      <c r="Z101" s="157">
        <f t="shared" si="7"/>
        <v>713.92500000000007</v>
      </c>
      <c r="AA101" s="157">
        <f t="shared" si="7"/>
        <v>0</v>
      </c>
    </row>
    <row r="102" spans="1:27" s="52" customFormat="1" ht="12.75" x14ac:dyDescent="0.2">
      <c r="A102" s="20" t="s">
        <v>321</v>
      </c>
      <c r="B102" s="76">
        <v>201600000000042</v>
      </c>
      <c r="C102" s="21">
        <v>95</v>
      </c>
      <c r="D102" s="55">
        <v>28557</v>
      </c>
      <c r="E102" s="46" t="s">
        <v>23</v>
      </c>
      <c r="F102" s="46" t="s">
        <v>322</v>
      </c>
      <c r="G102" s="46" t="s">
        <v>323</v>
      </c>
      <c r="H102" s="46" t="s">
        <v>183</v>
      </c>
      <c r="I102" s="46" t="s">
        <v>66</v>
      </c>
      <c r="J102" s="56">
        <v>42726</v>
      </c>
      <c r="K102" s="48">
        <v>12</v>
      </c>
      <c r="L102" s="57">
        <v>0.1</v>
      </c>
      <c r="M102" s="74">
        <v>28557</v>
      </c>
      <c r="N102" s="155">
        <f t="shared" si="5"/>
        <v>2855.7000000000003</v>
      </c>
      <c r="O102" s="78"/>
      <c r="P102" s="53">
        <v>0.25</v>
      </c>
      <c r="Q102" s="53">
        <v>0.25</v>
      </c>
      <c r="R102" s="53">
        <v>0.25</v>
      </c>
      <c r="S102" s="53">
        <v>0.25</v>
      </c>
      <c r="T102" s="53">
        <v>0</v>
      </c>
      <c r="U102" s="28">
        <f t="shared" si="6"/>
        <v>1</v>
      </c>
      <c r="W102" s="157">
        <f t="shared" si="7"/>
        <v>713.92500000000007</v>
      </c>
      <c r="X102" s="157">
        <f t="shared" si="7"/>
        <v>713.92500000000007</v>
      </c>
      <c r="Y102" s="157">
        <f t="shared" si="7"/>
        <v>713.92500000000007</v>
      </c>
      <c r="Z102" s="157">
        <f t="shared" si="7"/>
        <v>713.92500000000007</v>
      </c>
      <c r="AA102" s="157">
        <f t="shared" si="7"/>
        <v>0</v>
      </c>
    </row>
    <row r="103" spans="1:27" s="52" customFormat="1" ht="12.75" x14ac:dyDescent="0.2">
      <c r="A103" s="20" t="s">
        <v>321</v>
      </c>
      <c r="B103" s="48">
        <v>32</v>
      </c>
      <c r="C103" s="21">
        <v>96</v>
      </c>
      <c r="D103" s="55">
        <f>13766*(1+1/12)</f>
        <v>14913.166666666666</v>
      </c>
      <c r="E103" s="46" t="s">
        <v>32</v>
      </c>
      <c r="F103" s="46" t="s">
        <v>324</v>
      </c>
      <c r="G103" s="46" t="s">
        <v>325</v>
      </c>
      <c r="H103" s="46" t="s">
        <v>326</v>
      </c>
      <c r="I103" s="69" t="s">
        <v>66</v>
      </c>
      <c r="J103" s="56">
        <v>42396</v>
      </c>
      <c r="K103" s="48">
        <v>1</v>
      </c>
      <c r="L103" s="57">
        <v>0.7</v>
      </c>
      <c r="M103" s="55">
        <f>13766*(1+1/12)</f>
        <v>14913.166666666666</v>
      </c>
      <c r="N103" s="155">
        <f t="shared" si="5"/>
        <v>10439.216666666665</v>
      </c>
      <c r="O103" s="77"/>
      <c r="P103" s="53">
        <v>0.25</v>
      </c>
      <c r="Q103" s="53">
        <v>0.25</v>
      </c>
      <c r="R103" s="53">
        <v>0.25</v>
      </c>
      <c r="S103" s="53">
        <v>0.25</v>
      </c>
      <c r="T103" s="53">
        <v>0</v>
      </c>
      <c r="U103" s="28">
        <f t="shared" si="6"/>
        <v>1</v>
      </c>
      <c r="W103" s="157">
        <f t="shared" si="7"/>
        <v>2609.8041666666663</v>
      </c>
      <c r="X103" s="157">
        <f t="shared" si="7"/>
        <v>2609.8041666666663</v>
      </c>
      <c r="Y103" s="157">
        <f t="shared" si="7"/>
        <v>2609.8041666666663</v>
      </c>
      <c r="Z103" s="157">
        <f t="shared" si="7"/>
        <v>2609.8041666666663</v>
      </c>
      <c r="AA103" s="157">
        <f t="shared" si="7"/>
        <v>0</v>
      </c>
    </row>
    <row r="104" spans="1:27" s="52" customFormat="1" ht="12.75" x14ac:dyDescent="0.2">
      <c r="A104" s="20" t="s">
        <v>321</v>
      </c>
      <c r="B104" s="48">
        <v>33</v>
      </c>
      <c r="C104" s="21">
        <v>97</v>
      </c>
      <c r="D104" s="55">
        <f>13766*(1+1/12)</f>
        <v>14913.166666666666</v>
      </c>
      <c r="E104" s="46" t="s">
        <v>32</v>
      </c>
      <c r="F104" s="46" t="s">
        <v>324</v>
      </c>
      <c r="G104" s="46" t="s">
        <v>325</v>
      </c>
      <c r="H104" s="46" t="s">
        <v>326</v>
      </c>
      <c r="I104" s="69" t="s">
        <v>66</v>
      </c>
      <c r="J104" s="56">
        <v>42424</v>
      </c>
      <c r="K104" s="48">
        <v>2</v>
      </c>
      <c r="L104" s="57">
        <v>0.7</v>
      </c>
      <c r="M104" s="55">
        <f>13766*(1+1/12)</f>
        <v>14913.166666666666</v>
      </c>
      <c r="N104" s="155">
        <f t="shared" si="5"/>
        <v>10439.216666666665</v>
      </c>
      <c r="O104" s="77"/>
      <c r="P104" s="53">
        <v>0.25</v>
      </c>
      <c r="Q104" s="53">
        <v>0.25</v>
      </c>
      <c r="R104" s="53">
        <v>0.25</v>
      </c>
      <c r="S104" s="53">
        <v>0.25</v>
      </c>
      <c r="T104" s="53">
        <v>0</v>
      </c>
      <c r="U104" s="28">
        <f t="shared" si="6"/>
        <v>1</v>
      </c>
      <c r="W104" s="157">
        <f t="shared" ref="W104:AA114" si="8">$N104*P104</f>
        <v>2609.8041666666663</v>
      </c>
      <c r="X104" s="157">
        <f t="shared" si="8"/>
        <v>2609.8041666666663</v>
      </c>
      <c r="Y104" s="157">
        <f t="shared" si="8"/>
        <v>2609.8041666666663</v>
      </c>
      <c r="Z104" s="157">
        <f t="shared" si="8"/>
        <v>2609.8041666666663</v>
      </c>
      <c r="AA104" s="157">
        <f t="shared" si="8"/>
        <v>0</v>
      </c>
    </row>
    <row r="105" spans="1:27" s="52" customFormat="1" ht="12.75" x14ac:dyDescent="0.2">
      <c r="A105" s="20" t="s">
        <v>321</v>
      </c>
      <c r="B105" s="48">
        <v>34</v>
      </c>
      <c r="C105" s="21">
        <v>98</v>
      </c>
      <c r="D105" s="55">
        <f>11960.11*(1+1/12)</f>
        <v>12956.785833333333</v>
      </c>
      <c r="E105" s="46" t="s">
        <v>32</v>
      </c>
      <c r="F105" s="46" t="s">
        <v>324</v>
      </c>
      <c r="G105" s="46" t="s">
        <v>325</v>
      </c>
      <c r="H105" s="46" t="s">
        <v>326</v>
      </c>
      <c r="I105" s="69" t="s">
        <v>66</v>
      </c>
      <c r="J105" s="56">
        <v>42452</v>
      </c>
      <c r="K105" s="48">
        <v>3</v>
      </c>
      <c r="L105" s="57">
        <v>0.7</v>
      </c>
      <c r="M105" s="55">
        <f>11960.11*(1+1/12)</f>
        <v>12956.785833333333</v>
      </c>
      <c r="N105" s="155">
        <f t="shared" si="5"/>
        <v>9069.7500833333324</v>
      </c>
      <c r="O105" s="77"/>
      <c r="P105" s="53">
        <v>0.25</v>
      </c>
      <c r="Q105" s="53">
        <v>0.25</v>
      </c>
      <c r="R105" s="53">
        <v>0.25</v>
      </c>
      <c r="S105" s="53">
        <v>0.25</v>
      </c>
      <c r="T105" s="53">
        <v>0</v>
      </c>
      <c r="U105" s="28">
        <f t="shared" si="6"/>
        <v>1</v>
      </c>
      <c r="W105" s="157">
        <f t="shared" si="8"/>
        <v>2267.4375208333331</v>
      </c>
      <c r="X105" s="157">
        <f t="shared" si="8"/>
        <v>2267.4375208333331</v>
      </c>
      <c r="Y105" s="157">
        <f t="shared" si="8"/>
        <v>2267.4375208333331</v>
      </c>
      <c r="Z105" s="157">
        <f t="shared" si="8"/>
        <v>2267.4375208333331</v>
      </c>
      <c r="AA105" s="157">
        <f t="shared" si="8"/>
        <v>0</v>
      </c>
    </row>
    <row r="106" spans="1:27" s="52" customFormat="1" ht="12.75" x14ac:dyDescent="0.2">
      <c r="A106" s="20" t="s">
        <v>321</v>
      </c>
      <c r="B106" s="48">
        <v>35</v>
      </c>
      <c r="C106" s="21">
        <v>99</v>
      </c>
      <c r="D106" s="55">
        <f t="shared" ref="D106:D114" si="9">11960.11*(1+1/12)</f>
        <v>12956.785833333333</v>
      </c>
      <c r="E106" s="46" t="s">
        <v>32</v>
      </c>
      <c r="F106" s="46" t="s">
        <v>324</v>
      </c>
      <c r="G106" s="46" t="s">
        <v>325</v>
      </c>
      <c r="H106" s="46" t="s">
        <v>326</v>
      </c>
      <c r="I106" s="69" t="s">
        <v>66</v>
      </c>
      <c r="J106" s="56">
        <v>42485</v>
      </c>
      <c r="K106" s="48">
        <v>4</v>
      </c>
      <c r="L106" s="57">
        <v>0.7</v>
      </c>
      <c r="M106" s="55">
        <f t="shared" ref="M106:M114" si="10">11960.11*(1+1/12)</f>
        <v>12956.785833333333</v>
      </c>
      <c r="N106" s="155">
        <f t="shared" si="5"/>
        <v>9069.7500833333324</v>
      </c>
      <c r="O106" s="77"/>
      <c r="P106" s="53">
        <v>0.25</v>
      </c>
      <c r="Q106" s="53">
        <v>0.25</v>
      </c>
      <c r="R106" s="53">
        <v>0.25</v>
      </c>
      <c r="S106" s="53">
        <v>0.25</v>
      </c>
      <c r="T106" s="53">
        <v>0</v>
      </c>
      <c r="U106" s="28">
        <f t="shared" si="6"/>
        <v>1</v>
      </c>
      <c r="W106" s="157">
        <f t="shared" si="8"/>
        <v>2267.4375208333331</v>
      </c>
      <c r="X106" s="157">
        <f t="shared" si="8"/>
        <v>2267.4375208333331</v>
      </c>
      <c r="Y106" s="157">
        <f t="shared" si="8"/>
        <v>2267.4375208333331</v>
      </c>
      <c r="Z106" s="157">
        <f t="shared" si="8"/>
        <v>2267.4375208333331</v>
      </c>
      <c r="AA106" s="157">
        <f t="shared" si="8"/>
        <v>0</v>
      </c>
    </row>
    <row r="107" spans="1:27" s="52" customFormat="1" ht="12.75" x14ac:dyDescent="0.2">
      <c r="A107" s="20" t="s">
        <v>321</v>
      </c>
      <c r="B107" s="48">
        <v>36</v>
      </c>
      <c r="C107" s="21">
        <v>100</v>
      </c>
      <c r="D107" s="55">
        <f t="shared" si="9"/>
        <v>12956.785833333333</v>
      </c>
      <c r="E107" s="46" t="s">
        <v>32</v>
      </c>
      <c r="F107" s="46" t="s">
        <v>324</v>
      </c>
      <c r="G107" s="46" t="s">
        <v>325</v>
      </c>
      <c r="H107" s="46" t="s">
        <v>326</v>
      </c>
      <c r="I107" s="69" t="s">
        <v>66</v>
      </c>
      <c r="J107" s="56">
        <v>42517</v>
      </c>
      <c r="K107" s="48">
        <v>5</v>
      </c>
      <c r="L107" s="57">
        <v>0.7</v>
      </c>
      <c r="M107" s="55">
        <f t="shared" si="10"/>
        <v>12956.785833333333</v>
      </c>
      <c r="N107" s="155">
        <f t="shared" si="5"/>
        <v>9069.7500833333324</v>
      </c>
      <c r="O107" s="77"/>
      <c r="P107" s="53">
        <v>0.25</v>
      </c>
      <c r="Q107" s="53">
        <v>0.25</v>
      </c>
      <c r="R107" s="53">
        <v>0.25</v>
      </c>
      <c r="S107" s="53">
        <v>0.25</v>
      </c>
      <c r="T107" s="53">
        <v>0</v>
      </c>
      <c r="U107" s="28">
        <f t="shared" si="6"/>
        <v>1</v>
      </c>
      <c r="W107" s="157">
        <f t="shared" si="8"/>
        <v>2267.4375208333331</v>
      </c>
      <c r="X107" s="157">
        <f t="shared" si="8"/>
        <v>2267.4375208333331</v>
      </c>
      <c r="Y107" s="157">
        <f t="shared" si="8"/>
        <v>2267.4375208333331</v>
      </c>
      <c r="Z107" s="157">
        <f t="shared" si="8"/>
        <v>2267.4375208333331</v>
      </c>
      <c r="AA107" s="157">
        <f t="shared" si="8"/>
        <v>0</v>
      </c>
    </row>
    <row r="108" spans="1:27" s="52" customFormat="1" ht="12.75" x14ac:dyDescent="0.2">
      <c r="A108" s="20" t="s">
        <v>321</v>
      </c>
      <c r="B108" s="48">
        <v>37</v>
      </c>
      <c r="C108" s="21">
        <v>101</v>
      </c>
      <c r="D108" s="55">
        <f t="shared" si="9"/>
        <v>12956.785833333333</v>
      </c>
      <c r="E108" s="46" t="s">
        <v>32</v>
      </c>
      <c r="F108" s="46" t="s">
        <v>324</v>
      </c>
      <c r="G108" s="46" t="s">
        <v>325</v>
      </c>
      <c r="H108" s="46" t="s">
        <v>326</v>
      </c>
      <c r="I108" s="69" t="s">
        <v>66</v>
      </c>
      <c r="J108" s="56">
        <v>42548</v>
      </c>
      <c r="K108" s="48">
        <v>6</v>
      </c>
      <c r="L108" s="57">
        <v>0.7</v>
      </c>
      <c r="M108" s="55">
        <f t="shared" si="10"/>
        <v>12956.785833333333</v>
      </c>
      <c r="N108" s="155">
        <f t="shared" si="5"/>
        <v>9069.7500833333324</v>
      </c>
      <c r="O108" s="77"/>
      <c r="P108" s="53">
        <v>0.25</v>
      </c>
      <c r="Q108" s="53">
        <v>0.25</v>
      </c>
      <c r="R108" s="53">
        <v>0.25</v>
      </c>
      <c r="S108" s="53">
        <v>0.25</v>
      </c>
      <c r="T108" s="53">
        <v>0</v>
      </c>
      <c r="U108" s="28">
        <f t="shared" si="6"/>
        <v>1</v>
      </c>
      <c r="W108" s="157">
        <f t="shared" si="8"/>
        <v>2267.4375208333331</v>
      </c>
      <c r="X108" s="157">
        <f t="shared" si="8"/>
        <v>2267.4375208333331</v>
      </c>
      <c r="Y108" s="157">
        <f t="shared" si="8"/>
        <v>2267.4375208333331</v>
      </c>
      <c r="Z108" s="157">
        <f t="shared" si="8"/>
        <v>2267.4375208333331</v>
      </c>
      <c r="AA108" s="157">
        <f t="shared" si="8"/>
        <v>0</v>
      </c>
    </row>
    <row r="109" spans="1:27" s="52" customFormat="1" ht="12.75" x14ac:dyDescent="0.2">
      <c r="A109" s="20" t="s">
        <v>321</v>
      </c>
      <c r="B109" s="48">
        <v>38</v>
      </c>
      <c r="C109" s="21">
        <v>102</v>
      </c>
      <c r="D109" s="55">
        <f t="shared" si="9"/>
        <v>12956.785833333333</v>
      </c>
      <c r="E109" s="46" t="s">
        <v>32</v>
      </c>
      <c r="F109" s="46" t="s">
        <v>324</v>
      </c>
      <c r="G109" s="46" t="s">
        <v>325</v>
      </c>
      <c r="H109" s="46" t="s">
        <v>326</v>
      </c>
      <c r="I109" s="69" t="s">
        <v>66</v>
      </c>
      <c r="J109" s="56">
        <v>42576</v>
      </c>
      <c r="K109" s="48">
        <v>7</v>
      </c>
      <c r="L109" s="57">
        <v>0.7</v>
      </c>
      <c r="M109" s="55">
        <f t="shared" si="10"/>
        <v>12956.785833333333</v>
      </c>
      <c r="N109" s="155">
        <f t="shared" si="5"/>
        <v>9069.7500833333324</v>
      </c>
      <c r="O109" s="77"/>
      <c r="P109" s="53">
        <v>0.25</v>
      </c>
      <c r="Q109" s="53">
        <v>0.25</v>
      </c>
      <c r="R109" s="53">
        <v>0.25</v>
      </c>
      <c r="S109" s="53">
        <v>0.25</v>
      </c>
      <c r="T109" s="53">
        <v>0</v>
      </c>
      <c r="U109" s="28">
        <f t="shared" si="6"/>
        <v>1</v>
      </c>
      <c r="W109" s="157">
        <f t="shared" si="8"/>
        <v>2267.4375208333331</v>
      </c>
      <c r="X109" s="157">
        <f t="shared" si="8"/>
        <v>2267.4375208333331</v>
      </c>
      <c r="Y109" s="157">
        <f t="shared" si="8"/>
        <v>2267.4375208333331</v>
      </c>
      <c r="Z109" s="157">
        <f t="shared" si="8"/>
        <v>2267.4375208333331</v>
      </c>
      <c r="AA109" s="157">
        <f t="shared" si="8"/>
        <v>0</v>
      </c>
    </row>
    <row r="110" spans="1:27" s="52" customFormat="1" ht="12.75" x14ac:dyDescent="0.2">
      <c r="A110" s="20" t="s">
        <v>321</v>
      </c>
      <c r="B110" s="48">
        <v>39</v>
      </c>
      <c r="C110" s="21">
        <v>103</v>
      </c>
      <c r="D110" s="55">
        <f t="shared" si="9"/>
        <v>12956.785833333333</v>
      </c>
      <c r="E110" s="46" t="s">
        <v>32</v>
      </c>
      <c r="F110" s="46" t="s">
        <v>324</v>
      </c>
      <c r="G110" s="46" t="s">
        <v>325</v>
      </c>
      <c r="H110" s="46" t="s">
        <v>326</v>
      </c>
      <c r="I110" s="69" t="s">
        <v>66</v>
      </c>
      <c r="J110" s="56">
        <v>42607</v>
      </c>
      <c r="K110" s="48">
        <v>8</v>
      </c>
      <c r="L110" s="57">
        <v>0.7</v>
      </c>
      <c r="M110" s="55">
        <f t="shared" si="10"/>
        <v>12956.785833333333</v>
      </c>
      <c r="N110" s="155">
        <f t="shared" si="5"/>
        <v>9069.7500833333324</v>
      </c>
      <c r="P110" s="53">
        <v>0.25</v>
      </c>
      <c r="Q110" s="53">
        <v>0.25</v>
      </c>
      <c r="R110" s="53">
        <v>0.25</v>
      </c>
      <c r="S110" s="53">
        <v>0.25</v>
      </c>
      <c r="T110" s="53">
        <v>0</v>
      </c>
      <c r="U110" s="28">
        <f t="shared" si="6"/>
        <v>1</v>
      </c>
      <c r="W110" s="157">
        <f t="shared" si="8"/>
        <v>2267.4375208333331</v>
      </c>
      <c r="X110" s="157">
        <f t="shared" si="8"/>
        <v>2267.4375208333331</v>
      </c>
      <c r="Y110" s="157">
        <f t="shared" si="8"/>
        <v>2267.4375208333331</v>
      </c>
      <c r="Z110" s="157">
        <f t="shared" si="8"/>
        <v>2267.4375208333331</v>
      </c>
      <c r="AA110" s="157">
        <f t="shared" si="8"/>
        <v>0</v>
      </c>
    </row>
    <row r="111" spans="1:27" s="52" customFormat="1" ht="12.75" x14ac:dyDescent="0.2">
      <c r="A111" s="20" t="s">
        <v>321</v>
      </c>
      <c r="B111" s="48">
        <v>40</v>
      </c>
      <c r="C111" s="21">
        <v>104</v>
      </c>
      <c r="D111" s="55">
        <f t="shared" si="9"/>
        <v>12956.785833333333</v>
      </c>
      <c r="E111" s="46" t="s">
        <v>32</v>
      </c>
      <c r="F111" s="46" t="s">
        <v>324</v>
      </c>
      <c r="G111" s="46" t="s">
        <v>325</v>
      </c>
      <c r="H111" s="46" t="s">
        <v>326</v>
      </c>
      <c r="I111" s="69" t="s">
        <v>66</v>
      </c>
      <c r="J111" s="56">
        <v>42640</v>
      </c>
      <c r="K111" s="48">
        <v>9</v>
      </c>
      <c r="L111" s="57">
        <v>0.7</v>
      </c>
      <c r="M111" s="55">
        <f t="shared" si="10"/>
        <v>12956.785833333333</v>
      </c>
      <c r="N111" s="155">
        <f t="shared" si="5"/>
        <v>9069.7500833333324</v>
      </c>
      <c r="P111" s="53">
        <v>0.25</v>
      </c>
      <c r="Q111" s="53">
        <v>0.25</v>
      </c>
      <c r="R111" s="53">
        <v>0.25</v>
      </c>
      <c r="S111" s="53">
        <v>0.25</v>
      </c>
      <c r="T111" s="53">
        <v>0</v>
      </c>
      <c r="U111" s="28">
        <f t="shared" si="6"/>
        <v>1</v>
      </c>
      <c r="W111" s="157">
        <f t="shared" si="8"/>
        <v>2267.4375208333331</v>
      </c>
      <c r="X111" s="157">
        <f t="shared" si="8"/>
        <v>2267.4375208333331</v>
      </c>
      <c r="Y111" s="157">
        <f t="shared" si="8"/>
        <v>2267.4375208333331</v>
      </c>
      <c r="Z111" s="157">
        <f t="shared" si="8"/>
        <v>2267.4375208333331</v>
      </c>
      <c r="AA111" s="157">
        <f t="shared" si="8"/>
        <v>0</v>
      </c>
    </row>
    <row r="112" spans="1:27" s="52" customFormat="1" ht="12.75" x14ac:dyDescent="0.2">
      <c r="A112" s="20" t="s">
        <v>321</v>
      </c>
      <c r="B112" s="48">
        <v>41</v>
      </c>
      <c r="C112" s="21">
        <v>105</v>
      </c>
      <c r="D112" s="55">
        <f t="shared" si="9"/>
        <v>12956.785833333333</v>
      </c>
      <c r="E112" s="46" t="s">
        <v>32</v>
      </c>
      <c r="F112" s="46" t="s">
        <v>324</v>
      </c>
      <c r="G112" s="46" t="s">
        <v>325</v>
      </c>
      <c r="H112" s="46" t="s">
        <v>326</v>
      </c>
      <c r="I112" s="69" t="s">
        <v>66</v>
      </c>
      <c r="J112" s="56">
        <v>42671</v>
      </c>
      <c r="K112" s="48">
        <v>10</v>
      </c>
      <c r="L112" s="57">
        <v>0.7</v>
      </c>
      <c r="M112" s="55">
        <f t="shared" si="10"/>
        <v>12956.785833333333</v>
      </c>
      <c r="N112" s="155">
        <f t="shared" si="5"/>
        <v>9069.7500833333324</v>
      </c>
      <c r="P112" s="53">
        <v>0.25</v>
      </c>
      <c r="Q112" s="53">
        <v>0.25</v>
      </c>
      <c r="R112" s="53">
        <v>0.25</v>
      </c>
      <c r="S112" s="53">
        <v>0.25</v>
      </c>
      <c r="T112" s="53">
        <v>0</v>
      </c>
      <c r="U112" s="28">
        <f t="shared" si="6"/>
        <v>1</v>
      </c>
      <c r="W112" s="157">
        <f t="shared" si="8"/>
        <v>2267.4375208333331</v>
      </c>
      <c r="X112" s="157">
        <f t="shared" si="8"/>
        <v>2267.4375208333331</v>
      </c>
      <c r="Y112" s="157">
        <f t="shared" si="8"/>
        <v>2267.4375208333331</v>
      </c>
      <c r="Z112" s="157">
        <f t="shared" si="8"/>
        <v>2267.4375208333331</v>
      </c>
      <c r="AA112" s="157">
        <f t="shared" si="8"/>
        <v>0</v>
      </c>
    </row>
    <row r="113" spans="1:27" s="52" customFormat="1" ht="12.75" x14ac:dyDescent="0.2">
      <c r="A113" s="20" t="s">
        <v>321</v>
      </c>
      <c r="B113" s="48">
        <v>42</v>
      </c>
      <c r="C113" s="21">
        <v>106</v>
      </c>
      <c r="D113" s="55">
        <f t="shared" si="9"/>
        <v>12956.785833333333</v>
      </c>
      <c r="E113" s="46" t="s">
        <v>32</v>
      </c>
      <c r="F113" s="46" t="s">
        <v>324</v>
      </c>
      <c r="G113" s="46" t="s">
        <v>325</v>
      </c>
      <c r="H113" s="46" t="s">
        <v>326</v>
      </c>
      <c r="I113" s="69" t="s">
        <v>66</v>
      </c>
      <c r="J113" s="56">
        <v>42702</v>
      </c>
      <c r="K113" s="48">
        <v>11</v>
      </c>
      <c r="L113" s="57">
        <v>0.7</v>
      </c>
      <c r="M113" s="55">
        <f t="shared" si="10"/>
        <v>12956.785833333333</v>
      </c>
      <c r="N113" s="155">
        <f t="shared" si="5"/>
        <v>9069.7500833333324</v>
      </c>
      <c r="P113" s="53">
        <v>0.25</v>
      </c>
      <c r="Q113" s="53">
        <v>0.25</v>
      </c>
      <c r="R113" s="53">
        <v>0.25</v>
      </c>
      <c r="S113" s="53">
        <v>0.25</v>
      </c>
      <c r="T113" s="53">
        <v>0</v>
      </c>
      <c r="U113" s="28">
        <f t="shared" si="6"/>
        <v>1</v>
      </c>
      <c r="W113" s="157">
        <f t="shared" si="8"/>
        <v>2267.4375208333331</v>
      </c>
      <c r="X113" s="157">
        <f t="shared" si="8"/>
        <v>2267.4375208333331</v>
      </c>
      <c r="Y113" s="157">
        <f t="shared" si="8"/>
        <v>2267.4375208333331</v>
      </c>
      <c r="Z113" s="157">
        <f t="shared" si="8"/>
        <v>2267.4375208333331</v>
      </c>
      <c r="AA113" s="157">
        <f t="shared" si="8"/>
        <v>0</v>
      </c>
    </row>
    <row r="114" spans="1:27" s="52" customFormat="1" ht="12.75" x14ac:dyDescent="0.2">
      <c r="A114" s="82" t="s">
        <v>321</v>
      </c>
      <c r="B114" s="83">
        <v>43</v>
      </c>
      <c r="C114" s="84">
        <v>107</v>
      </c>
      <c r="D114" s="85">
        <f t="shared" si="9"/>
        <v>12956.785833333333</v>
      </c>
      <c r="E114" s="86" t="s">
        <v>32</v>
      </c>
      <c r="F114" s="86" t="s">
        <v>324</v>
      </c>
      <c r="G114" s="86" t="s">
        <v>325</v>
      </c>
      <c r="H114" s="86" t="s">
        <v>326</v>
      </c>
      <c r="I114" s="87" t="s">
        <v>66</v>
      </c>
      <c r="J114" s="88">
        <v>42730</v>
      </c>
      <c r="K114" s="83">
        <v>12</v>
      </c>
      <c r="L114" s="89">
        <v>0.7</v>
      </c>
      <c r="M114" s="85">
        <f t="shared" si="10"/>
        <v>12956.785833333333</v>
      </c>
      <c r="N114" s="158">
        <f t="shared" si="5"/>
        <v>9069.7500833333324</v>
      </c>
      <c r="P114" s="53">
        <v>0.25</v>
      </c>
      <c r="Q114" s="53">
        <v>0.25</v>
      </c>
      <c r="R114" s="53">
        <v>0.25</v>
      </c>
      <c r="S114" s="53">
        <v>0.25</v>
      </c>
      <c r="T114" s="53">
        <v>0</v>
      </c>
      <c r="U114" s="28">
        <f t="shared" si="6"/>
        <v>1</v>
      </c>
      <c r="W114" s="159">
        <f t="shared" si="8"/>
        <v>2267.4375208333331</v>
      </c>
      <c r="X114" s="159">
        <f t="shared" si="8"/>
        <v>2267.4375208333331</v>
      </c>
      <c r="Y114" s="159">
        <f t="shared" si="8"/>
        <v>2267.4375208333331</v>
      </c>
      <c r="Z114" s="159">
        <f t="shared" si="8"/>
        <v>2267.4375208333331</v>
      </c>
      <c r="AA114" s="159">
        <f t="shared" si="8"/>
        <v>0</v>
      </c>
    </row>
    <row r="115" spans="1:27" hidden="1" x14ac:dyDescent="0.25">
      <c r="W115" s="79">
        <f>SUM(W8:W114)</f>
        <v>91244.944691666708</v>
      </c>
      <c r="X115" s="79">
        <f t="shared" ref="X115:AA115" si="11">SUM(X8:X114)</f>
        <v>44632.384264726672</v>
      </c>
      <c r="Y115" s="79">
        <f t="shared" si="11"/>
        <v>62342.615375000038</v>
      </c>
      <c r="Z115" s="79">
        <f t="shared" si="11"/>
        <v>42963.785408333337</v>
      </c>
      <c r="AA115" s="79">
        <f t="shared" si="11"/>
        <v>32162.459999999995</v>
      </c>
    </row>
    <row r="116" spans="1:27" hidden="1" x14ac:dyDescent="0.25">
      <c r="W116" s="160">
        <f>SUM(W115:AA115)</f>
        <v>273346.18973972677</v>
      </c>
      <c r="X116" s="160"/>
      <c r="Y116" s="160"/>
      <c r="Z116" s="160"/>
      <c r="AA116" s="160"/>
    </row>
    <row r="118" spans="1:27" x14ac:dyDescent="0.25">
      <c r="W118" s="99"/>
      <c r="X118" s="99"/>
      <c r="Y118" s="99"/>
      <c r="Z118" s="99"/>
    </row>
  </sheetData>
  <autoFilter ref="A7:AB114">
    <filterColumn colId="8">
      <filters>
        <filter val="Terceiros"/>
      </filters>
    </filterColumn>
  </autoFilter>
  <mergeCells count="3">
    <mergeCell ref="P6:T6"/>
    <mergeCell ref="W6:AA6"/>
    <mergeCell ref="W116:AA116"/>
  </mergeCells>
  <pageMargins left="0.51181102362204722" right="0.51181102362204722" top="0.78740157480314965" bottom="0.78740157480314965" header="0.31496062992125984" footer="0.31496062992125984"/>
  <pageSetup paperSize="9" scale="54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tabColor theme="9" tint="0.39997558519241921"/>
    <pageSetUpPr fitToPage="1"/>
  </sheetPr>
  <dimension ref="A1:XES71"/>
  <sheetViews>
    <sheetView workbookViewId="0">
      <selection activeCell="B8" sqref="B8"/>
    </sheetView>
  </sheetViews>
  <sheetFormatPr defaultRowHeight="15" x14ac:dyDescent="0.25"/>
  <cols>
    <col min="1" max="1" width="17.5703125" customWidth="1"/>
    <col min="2" max="2" width="38.28515625" bestFit="1" customWidth="1"/>
    <col min="3" max="3" width="10.7109375" bestFit="1" customWidth="1"/>
    <col min="4" max="5" width="8.140625" customWidth="1"/>
    <col min="6" max="6" width="13.7109375" bestFit="1" customWidth="1"/>
    <col min="7" max="7" width="16.7109375" hidden="1" customWidth="1"/>
    <col min="8" max="8" width="21.85546875" bestFit="1" customWidth="1"/>
    <col min="9" max="9" width="7.140625" bestFit="1" customWidth="1"/>
    <col min="10" max="10" width="13.28515625" bestFit="1" customWidth="1"/>
    <col min="11" max="11" width="13.140625" bestFit="1" customWidth="1"/>
  </cols>
  <sheetData>
    <row r="1" spans="1:16373" ht="26.25" x14ac:dyDescent="0.4">
      <c r="A1" s="1" t="s">
        <v>373</v>
      </c>
      <c r="B1" s="5"/>
      <c r="C1" s="5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</row>
    <row r="2" spans="1:16373" ht="21" x14ac:dyDescent="0.35">
      <c r="A2" s="139" t="s">
        <v>377</v>
      </c>
    </row>
    <row r="3" spans="1:16373" x14ac:dyDescent="0.25">
      <c r="A3" t="s">
        <v>0</v>
      </c>
    </row>
    <row r="4" spans="1:16373" x14ac:dyDescent="0.25">
      <c r="A4" t="s">
        <v>311</v>
      </c>
    </row>
    <row r="7" spans="1:16373" x14ac:dyDescent="0.25">
      <c r="F7" s="177">
        <f>SUBTOTAL(9,F9:F71)</f>
        <v>8.7458333333333336</v>
      </c>
      <c r="G7" s="35">
        <f>SUBTOTAL(9,G9:G71)</f>
        <v>209.9</v>
      </c>
      <c r="K7" s="35">
        <f>SUBTOTAL(9,K9:K71)</f>
        <v>6980.2545393848568</v>
      </c>
    </row>
    <row r="8" spans="1:16373" x14ac:dyDescent="0.25">
      <c r="A8" s="178" t="s">
        <v>6</v>
      </c>
      <c r="B8" s="178" t="s">
        <v>1</v>
      </c>
      <c r="C8" s="178" t="s">
        <v>2</v>
      </c>
      <c r="D8" s="178" t="s">
        <v>3</v>
      </c>
      <c r="E8" s="178" t="s">
        <v>4</v>
      </c>
      <c r="F8" s="178" t="s">
        <v>5</v>
      </c>
      <c r="G8" s="178" t="s">
        <v>310</v>
      </c>
      <c r="H8" s="178" t="s">
        <v>45</v>
      </c>
      <c r="I8" s="178" t="s">
        <v>85</v>
      </c>
      <c r="J8" s="178" t="s">
        <v>268</v>
      </c>
      <c r="K8" s="178" t="s">
        <v>269</v>
      </c>
    </row>
    <row r="9" spans="1:16373" x14ac:dyDescent="0.25">
      <c r="A9" s="161" t="s">
        <v>7</v>
      </c>
      <c r="B9" s="162" t="s">
        <v>8</v>
      </c>
      <c r="C9" s="163">
        <v>42415</v>
      </c>
      <c r="D9" s="164">
        <v>0.34375</v>
      </c>
      <c r="E9" s="164">
        <v>0.75</v>
      </c>
      <c r="F9" s="165">
        <f>E9-D9</f>
        <v>0.40625</v>
      </c>
      <c r="G9" s="166">
        <f>F9*24</f>
        <v>9.75</v>
      </c>
      <c r="H9" s="162" t="s">
        <v>42</v>
      </c>
      <c r="I9" s="162">
        <f>MONTH(C9)</f>
        <v>2</v>
      </c>
      <c r="J9" s="167">
        <f>VLOOKUP(A9,Salários!$A$35:$P$42,I9+4,FALSE)</f>
        <v>31.118786458333339</v>
      </c>
      <c r="K9" s="168">
        <f>J9*G9</f>
        <v>303.40816796875004</v>
      </c>
    </row>
    <row r="10" spans="1:16373" x14ac:dyDescent="0.25">
      <c r="A10" s="161" t="s">
        <v>7</v>
      </c>
      <c r="B10" s="162" t="s">
        <v>8</v>
      </c>
      <c r="C10" s="163">
        <v>42416</v>
      </c>
      <c r="D10" s="164">
        <v>0.34375</v>
      </c>
      <c r="E10" s="164">
        <v>0.41666666666666669</v>
      </c>
      <c r="F10" s="165">
        <f t="shared" ref="F10:F71" si="0">E10-D10</f>
        <v>7.2916666666666685E-2</v>
      </c>
      <c r="G10" s="166">
        <f t="shared" ref="G10:G71" si="1">F10*24</f>
        <v>1.7500000000000004</v>
      </c>
      <c r="H10" s="162" t="s">
        <v>42</v>
      </c>
      <c r="I10" s="162">
        <f t="shared" ref="I10:I71" si="2">MONTH(C10)</f>
        <v>2</v>
      </c>
      <c r="J10" s="167">
        <f>VLOOKUP(A10,Salários!$A$35:$P$42,I10+4,FALSE)</f>
        <v>31.118786458333339</v>
      </c>
      <c r="K10" s="168">
        <f t="shared" ref="K10:K71" si="3">J10*G10</f>
        <v>54.457876302083356</v>
      </c>
    </row>
    <row r="11" spans="1:16373" x14ac:dyDescent="0.25">
      <c r="A11" s="161" t="s">
        <v>7</v>
      </c>
      <c r="B11" s="162" t="s">
        <v>8</v>
      </c>
      <c r="C11" s="163">
        <v>42436</v>
      </c>
      <c r="D11" s="164">
        <v>0.2986111111111111</v>
      </c>
      <c r="E11" s="164">
        <v>0.70833333333333337</v>
      </c>
      <c r="F11" s="165">
        <f t="shared" si="0"/>
        <v>0.40972222222222227</v>
      </c>
      <c r="G11" s="166">
        <f t="shared" si="1"/>
        <v>9.8333333333333339</v>
      </c>
      <c r="H11" s="162" t="s">
        <v>43</v>
      </c>
      <c r="I11" s="162">
        <f t="shared" si="2"/>
        <v>3</v>
      </c>
      <c r="J11" s="167">
        <f>VLOOKUP(A11,Salários!$A$35:$P$42,I11+4,FALSE)</f>
        <v>27.059814311594206</v>
      </c>
      <c r="K11" s="168">
        <f t="shared" si="3"/>
        <v>266.08817406400971</v>
      </c>
    </row>
    <row r="12" spans="1:16373" x14ac:dyDescent="0.25">
      <c r="A12" s="161" t="s">
        <v>7</v>
      </c>
      <c r="B12" s="162" t="s">
        <v>9</v>
      </c>
      <c r="C12" s="163">
        <v>42458</v>
      </c>
      <c r="D12" s="164">
        <v>0.47569444444444442</v>
      </c>
      <c r="E12" s="164">
        <v>0.52083333333333337</v>
      </c>
      <c r="F12" s="165">
        <f t="shared" si="0"/>
        <v>4.5138888888888951E-2</v>
      </c>
      <c r="G12" s="166">
        <f t="shared" si="1"/>
        <v>1.0833333333333348</v>
      </c>
      <c r="H12" s="162" t="s">
        <v>42</v>
      </c>
      <c r="I12" s="162">
        <f t="shared" si="2"/>
        <v>3</v>
      </c>
      <c r="J12" s="167">
        <f>VLOOKUP(A12,Salários!$A$35:$P$42,I12+4,FALSE)</f>
        <v>27.059814311594206</v>
      </c>
      <c r="K12" s="168">
        <f t="shared" si="3"/>
        <v>29.314798837560431</v>
      </c>
    </row>
    <row r="13" spans="1:16373" x14ac:dyDescent="0.25">
      <c r="A13" s="161" t="s">
        <v>7</v>
      </c>
      <c r="B13" s="162" t="s">
        <v>10</v>
      </c>
      <c r="C13" s="163">
        <v>42468</v>
      </c>
      <c r="D13" s="164">
        <v>0.34375</v>
      </c>
      <c r="E13" s="164">
        <v>0.75</v>
      </c>
      <c r="F13" s="165">
        <f t="shared" si="0"/>
        <v>0.40625</v>
      </c>
      <c r="G13" s="166">
        <f t="shared" si="1"/>
        <v>9.75</v>
      </c>
      <c r="H13" s="162" t="s">
        <v>42</v>
      </c>
      <c r="I13" s="162">
        <f t="shared" si="2"/>
        <v>4</v>
      </c>
      <c r="J13" s="167">
        <f>VLOOKUP(A13,Salários!$A$35:$P$42,I13+4,FALSE)</f>
        <v>31.118786458333339</v>
      </c>
      <c r="K13" s="168">
        <f t="shared" si="3"/>
        <v>303.40816796875004</v>
      </c>
    </row>
    <row r="14" spans="1:16373" x14ac:dyDescent="0.25">
      <c r="A14" s="161" t="s">
        <v>7</v>
      </c>
      <c r="B14" s="162" t="s">
        <v>10</v>
      </c>
      <c r="C14" s="163">
        <v>42472</v>
      </c>
      <c r="D14" s="164">
        <v>0.3576388888888889</v>
      </c>
      <c r="E14" s="164">
        <v>0.43055555555555558</v>
      </c>
      <c r="F14" s="165">
        <f t="shared" si="0"/>
        <v>7.2916666666666685E-2</v>
      </c>
      <c r="G14" s="166">
        <f t="shared" si="1"/>
        <v>1.7500000000000004</v>
      </c>
      <c r="H14" s="162" t="s">
        <v>42</v>
      </c>
      <c r="I14" s="162">
        <f t="shared" si="2"/>
        <v>4</v>
      </c>
      <c r="J14" s="167">
        <f>VLOOKUP(A14,Salários!$A$35:$P$42,I14+4,FALSE)</f>
        <v>31.118786458333339</v>
      </c>
      <c r="K14" s="168">
        <f t="shared" si="3"/>
        <v>54.457876302083356</v>
      </c>
    </row>
    <row r="15" spans="1:16373" x14ac:dyDescent="0.25">
      <c r="A15" s="161" t="s">
        <v>7</v>
      </c>
      <c r="B15" s="162" t="s">
        <v>10</v>
      </c>
      <c r="C15" s="163">
        <v>42480</v>
      </c>
      <c r="D15" s="164">
        <v>0.65972222222222221</v>
      </c>
      <c r="E15" s="164">
        <v>0.78125</v>
      </c>
      <c r="F15" s="165">
        <f t="shared" si="0"/>
        <v>0.12152777777777779</v>
      </c>
      <c r="G15" s="166">
        <f t="shared" si="1"/>
        <v>2.916666666666667</v>
      </c>
      <c r="H15" s="162" t="s">
        <v>43</v>
      </c>
      <c r="I15" s="162">
        <f t="shared" si="2"/>
        <v>4</v>
      </c>
      <c r="J15" s="167">
        <f>VLOOKUP(A15,Salários!$A$35:$P$42,I15+4,FALSE)</f>
        <v>31.118786458333339</v>
      </c>
      <c r="K15" s="168">
        <f t="shared" si="3"/>
        <v>90.763127170138915</v>
      </c>
    </row>
    <row r="16" spans="1:16373" x14ac:dyDescent="0.25">
      <c r="A16" s="161" t="s">
        <v>7</v>
      </c>
      <c r="B16" s="162" t="s">
        <v>11</v>
      </c>
      <c r="C16" s="163">
        <v>42521</v>
      </c>
      <c r="D16" s="164">
        <v>0.58333333333333337</v>
      </c>
      <c r="E16" s="164">
        <v>0.75</v>
      </c>
      <c r="F16" s="165">
        <f t="shared" si="0"/>
        <v>0.16666666666666663</v>
      </c>
      <c r="G16" s="166">
        <f t="shared" si="1"/>
        <v>3.9999999999999991</v>
      </c>
      <c r="H16" s="162" t="s">
        <v>42</v>
      </c>
      <c r="I16" s="162">
        <f t="shared" si="2"/>
        <v>5</v>
      </c>
      <c r="J16" s="167">
        <f>VLOOKUP(A16,Salários!$A$35:$P$42,I16+4,FALSE)</f>
        <v>28.289805871212124</v>
      </c>
      <c r="K16" s="168">
        <f t="shared" si="3"/>
        <v>113.15922348484847</v>
      </c>
    </row>
    <row r="17" spans="1:11" x14ac:dyDescent="0.25">
      <c r="A17" s="161" t="s">
        <v>7</v>
      </c>
      <c r="B17" s="162" t="s">
        <v>11</v>
      </c>
      <c r="C17" s="163">
        <v>42522</v>
      </c>
      <c r="D17" s="164">
        <v>0.4513888888888889</v>
      </c>
      <c r="E17" s="164">
        <v>0.53749999999999998</v>
      </c>
      <c r="F17" s="165">
        <f t="shared" si="0"/>
        <v>8.6111111111111083E-2</v>
      </c>
      <c r="G17" s="166">
        <f t="shared" si="1"/>
        <v>2.066666666666666</v>
      </c>
      <c r="H17" s="162" t="s">
        <v>44</v>
      </c>
      <c r="I17" s="162">
        <f t="shared" si="2"/>
        <v>6</v>
      </c>
      <c r="J17" s="167">
        <f>VLOOKUP(A17,Salários!$A$35:$P$42,I17+4,FALSE)</f>
        <v>28.289805871212124</v>
      </c>
      <c r="K17" s="168">
        <f t="shared" si="3"/>
        <v>58.465598800505035</v>
      </c>
    </row>
    <row r="18" spans="1:11" x14ac:dyDescent="0.25">
      <c r="A18" s="161" t="s">
        <v>7</v>
      </c>
      <c r="B18" s="162" t="s">
        <v>12</v>
      </c>
      <c r="C18" s="163">
        <v>42550</v>
      </c>
      <c r="D18" s="164">
        <v>0.39930555555555558</v>
      </c>
      <c r="E18" s="164">
        <v>0.49652777777777773</v>
      </c>
      <c r="F18" s="165">
        <f t="shared" si="0"/>
        <v>9.7222222222222154E-2</v>
      </c>
      <c r="G18" s="166">
        <f t="shared" si="1"/>
        <v>2.3333333333333317</v>
      </c>
      <c r="H18" s="162" t="s">
        <v>42</v>
      </c>
      <c r="I18" s="162">
        <f t="shared" si="2"/>
        <v>6</v>
      </c>
      <c r="J18" s="167">
        <f>VLOOKUP(A18,Salários!$A$35:$P$42,I18+4,FALSE)</f>
        <v>28.289805871212124</v>
      </c>
      <c r="K18" s="168">
        <f t="shared" si="3"/>
        <v>66.009547032828237</v>
      </c>
    </row>
    <row r="19" spans="1:11" x14ac:dyDescent="0.25">
      <c r="A19" s="161" t="s">
        <v>7</v>
      </c>
      <c r="B19" s="162" t="s">
        <v>12</v>
      </c>
      <c r="C19" s="163">
        <v>42559</v>
      </c>
      <c r="D19" s="164">
        <v>0.41666666666666669</v>
      </c>
      <c r="E19" s="164">
        <v>0.4513888888888889</v>
      </c>
      <c r="F19" s="165">
        <f t="shared" si="0"/>
        <v>3.472222222222221E-2</v>
      </c>
      <c r="G19" s="166">
        <f t="shared" si="1"/>
        <v>0.83333333333333304</v>
      </c>
      <c r="H19" s="162" t="s">
        <v>42</v>
      </c>
      <c r="I19" s="162">
        <f t="shared" si="2"/>
        <v>7</v>
      </c>
      <c r="J19" s="167">
        <f>VLOOKUP(A19,Salários!$A$35:$P$42,I19+4,FALSE)</f>
        <v>29.636939484126987</v>
      </c>
      <c r="K19" s="168">
        <f t="shared" si="3"/>
        <v>24.697449570105814</v>
      </c>
    </row>
    <row r="20" spans="1:11" x14ac:dyDescent="0.25">
      <c r="A20" s="161" t="s">
        <v>7</v>
      </c>
      <c r="B20" s="162" t="s">
        <v>12</v>
      </c>
      <c r="C20" s="163">
        <v>42573</v>
      </c>
      <c r="D20" s="164">
        <v>0.64583333333333337</v>
      </c>
      <c r="E20" s="164">
        <v>0.67708333333333337</v>
      </c>
      <c r="F20" s="165">
        <f t="shared" si="0"/>
        <v>3.125E-2</v>
      </c>
      <c r="G20" s="166">
        <f t="shared" si="1"/>
        <v>0.75</v>
      </c>
      <c r="H20" s="162" t="s">
        <v>44</v>
      </c>
      <c r="I20" s="162">
        <f t="shared" si="2"/>
        <v>7</v>
      </c>
      <c r="J20" s="167">
        <f>VLOOKUP(A20,Salários!$A$35:$P$42,I20+4,FALSE)</f>
        <v>29.636939484126987</v>
      </c>
      <c r="K20" s="168">
        <f t="shared" si="3"/>
        <v>22.227704613095241</v>
      </c>
    </row>
    <row r="21" spans="1:11" x14ac:dyDescent="0.25">
      <c r="A21" s="161" t="s">
        <v>13</v>
      </c>
      <c r="B21" s="162" t="s">
        <v>12</v>
      </c>
      <c r="C21" s="163">
        <v>42924</v>
      </c>
      <c r="D21" s="164">
        <v>0.41666666666666669</v>
      </c>
      <c r="E21" s="164">
        <v>0.4513888888888889</v>
      </c>
      <c r="F21" s="165">
        <f t="shared" si="0"/>
        <v>3.472222222222221E-2</v>
      </c>
      <c r="G21" s="166">
        <f t="shared" si="1"/>
        <v>0.83333333333333304</v>
      </c>
      <c r="H21" s="162" t="s">
        <v>42</v>
      </c>
      <c r="I21" s="162">
        <f t="shared" si="2"/>
        <v>7</v>
      </c>
      <c r="J21" s="167">
        <f>VLOOKUP(A21,Salários!$A$35:$P$42,I21+4,FALSE)</f>
        <v>17.42011904761905</v>
      </c>
      <c r="K21" s="168">
        <f t="shared" si="3"/>
        <v>14.516765873015869</v>
      </c>
    </row>
    <row r="22" spans="1:11" x14ac:dyDescent="0.25">
      <c r="A22" s="161" t="s">
        <v>13</v>
      </c>
      <c r="B22" s="162" t="s">
        <v>12</v>
      </c>
      <c r="C22" s="163">
        <v>42938</v>
      </c>
      <c r="D22" s="164">
        <v>0.64583333333333337</v>
      </c>
      <c r="E22" s="164">
        <v>0.67708333333333337</v>
      </c>
      <c r="F22" s="165">
        <f t="shared" si="0"/>
        <v>3.125E-2</v>
      </c>
      <c r="G22" s="166">
        <f t="shared" si="1"/>
        <v>0.75</v>
      </c>
      <c r="H22" s="162" t="s">
        <v>44</v>
      </c>
      <c r="I22" s="162">
        <f t="shared" si="2"/>
        <v>7</v>
      </c>
      <c r="J22" s="167">
        <f>VLOOKUP(A22,Salários!$A$35:$P$42,I22+4,FALSE)</f>
        <v>17.42011904761905</v>
      </c>
      <c r="K22" s="168">
        <f t="shared" si="3"/>
        <v>13.065089285714286</v>
      </c>
    </row>
    <row r="23" spans="1:11" x14ac:dyDescent="0.25">
      <c r="A23" s="161" t="s">
        <v>13</v>
      </c>
      <c r="B23" s="162" t="s">
        <v>12</v>
      </c>
      <c r="C23" s="163">
        <v>43005</v>
      </c>
      <c r="D23" s="164">
        <v>0.67708333333333337</v>
      </c>
      <c r="E23" s="164">
        <v>0.75</v>
      </c>
      <c r="F23" s="165">
        <f t="shared" si="0"/>
        <v>7.291666666666663E-2</v>
      </c>
      <c r="G23" s="166">
        <f t="shared" si="1"/>
        <v>1.7499999999999991</v>
      </c>
      <c r="H23" s="162" t="s">
        <v>43</v>
      </c>
      <c r="I23" s="162">
        <f t="shared" si="2"/>
        <v>9</v>
      </c>
      <c r="J23" s="167">
        <f>VLOOKUP(A23,Salários!$A$35:$P$42,I23+4,FALSE)</f>
        <v>20.054125000000003</v>
      </c>
      <c r="K23" s="168">
        <f t="shared" si="3"/>
        <v>35.094718749999984</v>
      </c>
    </row>
    <row r="24" spans="1:11" x14ac:dyDescent="0.25">
      <c r="A24" s="161" t="s">
        <v>13</v>
      </c>
      <c r="B24" s="162" t="s">
        <v>14</v>
      </c>
      <c r="C24" s="163">
        <v>43007</v>
      </c>
      <c r="D24" s="164">
        <v>0.39305555555555555</v>
      </c>
      <c r="E24" s="164">
        <v>0.43472222222222223</v>
      </c>
      <c r="F24" s="165">
        <f t="shared" si="0"/>
        <v>4.1666666666666685E-2</v>
      </c>
      <c r="G24" s="166">
        <f t="shared" si="1"/>
        <v>1.0000000000000004</v>
      </c>
      <c r="H24" s="162" t="s">
        <v>43</v>
      </c>
      <c r="I24" s="162">
        <f t="shared" si="2"/>
        <v>9</v>
      </c>
      <c r="J24" s="167">
        <f>VLOOKUP(A24,Salários!$A$35:$P$42,I24+4,FALSE)</f>
        <v>20.054125000000003</v>
      </c>
      <c r="K24" s="168">
        <f t="shared" si="3"/>
        <v>20.054125000000013</v>
      </c>
    </row>
    <row r="25" spans="1:11" x14ac:dyDescent="0.25">
      <c r="A25" s="161" t="s">
        <v>13</v>
      </c>
      <c r="B25" s="162" t="s">
        <v>15</v>
      </c>
      <c r="C25" s="163">
        <v>43005</v>
      </c>
      <c r="D25" s="164">
        <v>0.5625</v>
      </c>
      <c r="E25" s="164">
        <v>0.75</v>
      </c>
      <c r="F25" s="165">
        <f t="shared" si="0"/>
        <v>0.1875</v>
      </c>
      <c r="G25" s="166">
        <f t="shared" si="1"/>
        <v>4.5</v>
      </c>
      <c r="H25" s="162"/>
      <c r="I25" s="162">
        <f t="shared" si="2"/>
        <v>9</v>
      </c>
      <c r="J25" s="167">
        <f>VLOOKUP(A25,Salários!$A$35:$P$42,I25+4,FALSE)</f>
        <v>20.054125000000003</v>
      </c>
      <c r="K25" s="168">
        <f t="shared" si="3"/>
        <v>90.24356250000001</v>
      </c>
    </row>
    <row r="26" spans="1:11" x14ac:dyDescent="0.25">
      <c r="A26" s="161" t="s">
        <v>13</v>
      </c>
      <c r="B26" s="162" t="s">
        <v>16</v>
      </c>
      <c r="C26" s="163">
        <v>43040</v>
      </c>
      <c r="D26" s="164">
        <v>0.4826388888888889</v>
      </c>
      <c r="E26" s="164">
        <v>0.75</v>
      </c>
      <c r="F26" s="165">
        <f t="shared" si="0"/>
        <v>0.2673611111111111</v>
      </c>
      <c r="G26" s="166">
        <f t="shared" si="1"/>
        <v>6.4166666666666661</v>
      </c>
      <c r="H26" s="162" t="s">
        <v>41</v>
      </c>
      <c r="I26" s="162">
        <f t="shared" si="2"/>
        <v>11</v>
      </c>
      <c r="J26" s="167">
        <f>VLOOKUP(A26,Salários!$A$35:$P$42,I26+4,FALSE)</f>
        <v>19.099166666666669</v>
      </c>
      <c r="K26" s="168">
        <f t="shared" si="3"/>
        <v>122.55298611111111</v>
      </c>
    </row>
    <row r="27" spans="1:11" x14ac:dyDescent="0.25">
      <c r="A27" s="161" t="s">
        <v>13</v>
      </c>
      <c r="B27" s="162" t="s">
        <v>17</v>
      </c>
      <c r="C27" s="163">
        <v>43070</v>
      </c>
      <c r="D27" s="164">
        <v>0.59027777777777779</v>
      </c>
      <c r="E27" s="164">
        <v>0.6875</v>
      </c>
      <c r="F27" s="165">
        <f t="shared" si="0"/>
        <v>9.722222222222221E-2</v>
      </c>
      <c r="G27" s="166">
        <f t="shared" si="1"/>
        <v>2.333333333333333</v>
      </c>
      <c r="H27" s="162" t="s">
        <v>38</v>
      </c>
      <c r="I27" s="162">
        <f t="shared" si="2"/>
        <v>12</v>
      </c>
      <c r="J27" s="167">
        <f>VLOOKUP(A27,Salários!$A$35:$P$42,I27+4,FALSE)</f>
        <v>18.231022727272727</v>
      </c>
      <c r="K27" s="168">
        <f t="shared" si="3"/>
        <v>42.539053030303023</v>
      </c>
    </row>
    <row r="28" spans="1:11" x14ac:dyDescent="0.25">
      <c r="A28" s="161" t="s">
        <v>13</v>
      </c>
      <c r="B28" s="162" t="s">
        <v>17</v>
      </c>
      <c r="C28" s="163">
        <v>43074</v>
      </c>
      <c r="D28" s="164">
        <v>0.3888888888888889</v>
      </c>
      <c r="E28" s="164">
        <v>0.47222222222222227</v>
      </c>
      <c r="F28" s="165">
        <f t="shared" si="0"/>
        <v>8.333333333333337E-2</v>
      </c>
      <c r="G28" s="166">
        <f t="shared" si="1"/>
        <v>2.0000000000000009</v>
      </c>
      <c r="H28" s="162" t="s">
        <v>39</v>
      </c>
      <c r="I28" s="162">
        <f t="shared" si="2"/>
        <v>12</v>
      </c>
      <c r="J28" s="167">
        <f>VLOOKUP(A28,Salários!$A$35:$P$42,I28+4,FALSE)</f>
        <v>18.231022727272727</v>
      </c>
      <c r="K28" s="168">
        <f t="shared" si="3"/>
        <v>36.462045454545468</v>
      </c>
    </row>
    <row r="29" spans="1:11" x14ac:dyDescent="0.25">
      <c r="A29" s="161" t="s">
        <v>13</v>
      </c>
      <c r="B29" s="162" t="s">
        <v>17</v>
      </c>
      <c r="C29" s="163">
        <v>43074</v>
      </c>
      <c r="D29" s="164">
        <v>0.49305555555555558</v>
      </c>
      <c r="E29" s="164">
        <v>0.55208333333333337</v>
      </c>
      <c r="F29" s="165">
        <f t="shared" si="0"/>
        <v>5.902777777777779E-2</v>
      </c>
      <c r="G29" s="166">
        <f t="shared" si="1"/>
        <v>1.416666666666667</v>
      </c>
      <c r="H29" s="162" t="s">
        <v>40</v>
      </c>
      <c r="I29" s="162">
        <f t="shared" si="2"/>
        <v>12</v>
      </c>
      <c r="J29" s="167">
        <f>VLOOKUP(A29,Salários!$A$35:$P$42,I29+4,FALSE)</f>
        <v>18.231022727272727</v>
      </c>
      <c r="K29" s="168">
        <f t="shared" si="3"/>
        <v>25.827282196969701</v>
      </c>
    </row>
    <row r="30" spans="1:11" x14ac:dyDescent="0.25">
      <c r="A30" s="161" t="s">
        <v>13</v>
      </c>
      <c r="B30" s="162" t="s">
        <v>18</v>
      </c>
      <c r="C30" s="163">
        <v>43075</v>
      </c>
      <c r="D30" s="164">
        <v>0.58333333333333337</v>
      </c>
      <c r="E30" s="164">
        <v>0.70833333333333337</v>
      </c>
      <c r="F30" s="165">
        <f t="shared" si="0"/>
        <v>0.125</v>
      </c>
      <c r="G30" s="166">
        <f t="shared" si="1"/>
        <v>3</v>
      </c>
      <c r="H30" s="162" t="s">
        <v>46</v>
      </c>
      <c r="I30" s="162">
        <f t="shared" si="2"/>
        <v>12</v>
      </c>
      <c r="J30" s="167">
        <f>VLOOKUP(A30,Salários!$A$35:$P$42,I30+4,FALSE)</f>
        <v>18.231022727272727</v>
      </c>
      <c r="K30" s="168">
        <f t="shared" si="3"/>
        <v>54.693068181818177</v>
      </c>
    </row>
    <row r="31" spans="1:11" x14ac:dyDescent="0.25">
      <c r="A31" s="161" t="s">
        <v>30</v>
      </c>
      <c r="B31" s="162" t="s">
        <v>8</v>
      </c>
      <c r="C31" s="163">
        <v>42781</v>
      </c>
      <c r="D31" s="164">
        <v>0.34375</v>
      </c>
      <c r="E31" s="164">
        <v>0.75</v>
      </c>
      <c r="F31" s="165">
        <f t="shared" si="0"/>
        <v>0.40625</v>
      </c>
      <c r="G31" s="166">
        <f t="shared" si="1"/>
        <v>9.75</v>
      </c>
      <c r="H31" s="162" t="s">
        <v>42</v>
      </c>
      <c r="I31" s="162">
        <f t="shared" si="2"/>
        <v>2</v>
      </c>
      <c r="J31" s="167">
        <f>VLOOKUP(A31,Salários!$A$35:$P$42,I31+4,FALSE)</f>
        <v>30.200557291666669</v>
      </c>
      <c r="K31" s="168">
        <f t="shared" si="3"/>
        <v>294.45543359375</v>
      </c>
    </row>
    <row r="32" spans="1:11" x14ac:dyDescent="0.25">
      <c r="A32" s="161" t="s">
        <v>30</v>
      </c>
      <c r="B32" s="162" t="s">
        <v>8</v>
      </c>
      <c r="C32" s="163">
        <v>42782</v>
      </c>
      <c r="D32" s="164">
        <v>0.34375</v>
      </c>
      <c r="E32" s="164">
        <v>0.41666666666666669</v>
      </c>
      <c r="F32" s="165">
        <f t="shared" si="0"/>
        <v>7.2916666666666685E-2</v>
      </c>
      <c r="G32" s="166">
        <f t="shared" si="1"/>
        <v>1.7500000000000004</v>
      </c>
      <c r="H32" s="162" t="s">
        <v>42</v>
      </c>
      <c r="I32" s="162">
        <f t="shared" si="2"/>
        <v>2</v>
      </c>
      <c r="J32" s="167">
        <f>VLOOKUP(A32,Salários!$A$35:$P$42,I32+4,FALSE)</f>
        <v>30.200557291666669</v>
      </c>
      <c r="K32" s="168">
        <f t="shared" si="3"/>
        <v>52.850975260416682</v>
      </c>
    </row>
    <row r="33" spans="1:11" x14ac:dyDescent="0.25">
      <c r="A33" s="161" t="s">
        <v>30</v>
      </c>
      <c r="B33" s="162" t="s">
        <v>9</v>
      </c>
      <c r="C33" s="163">
        <v>42823</v>
      </c>
      <c r="D33" s="164">
        <v>0.47569444444444442</v>
      </c>
      <c r="E33" s="164">
        <v>0.52083333333333337</v>
      </c>
      <c r="F33" s="165">
        <f t="shared" si="0"/>
        <v>4.5138888888888951E-2</v>
      </c>
      <c r="G33" s="166">
        <f t="shared" si="1"/>
        <v>1.0833333333333348</v>
      </c>
      <c r="H33" s="162" t="s">
        <v>42</v>
      </c>
      <c r="I33" s="162">
        <f t="shared" si="2"/>
        <v>3</v>
      </c>
      <c r="J33" s="167">
        <f>VLOOKUP(A33,Salários!$A$35:$P$42,I33+4,FALSE)</f>
        <v>26.261354166666671</v>
      </c>
      <c r="K33" s="168">
        <f t="shared" si="3"/>
        <v>28.449800347222265</v>
      </c>
    </row>
    <row r="34" spans="1:11" x14ac:dyDescent="0.25">
      <c r="A34" s="161" t="s">
        <v>30</v>
      </c>
      <c r="B34" s="162" t="s">
        <v>10</v>
      </c>
      <c r="C34" s="163">
        <v>42833</v>
      </c>
      <c r="D34" s="164">
        <v>0.34375</v>
      </c>
      <c r="E34" s="164">
        <v>0.75</v>
      </c>
      <c r="F34" s="165">
        <f t="shared" si="0"/>
        <v>0.40625</v>
      </c>
      <c r="G34" s="166">
        <f t="shared" si="1"/>
        <v>9.75</v>
      </c>
      <c r="H34" s="162" t="s">
        <v>42</v>
      </c>
      <c r="I34" s="162">
        <f t="shared" si="2"/>
        <v>4</v>
      </c>
      <c r="J34" s="167">
        <f>VLOOKUP(A34,Salários!$A$35:$P$42,I34+4,FALSE)</f>
        <v>30.200557291666669</v>
      </c>
      <c r="K34" s="168">
        <f t="shared" si="3"/>
        <v>294.45543359375</v>
      </c>
    </row>
    <row r="35" spans="1:11" x14ac:dyDescent="0.25">
      <c r="A35" s="161" t="s">
        <v>30</v>
      </c>
      <c r="B35" s="162" t="s">
        <v>10</v>
      </c>
      <c r="C35" s="163">
        <v>42837</v>
      </c>
      <c r="D35" s="164">
        <v>0.3576388888888889</v>
      </c>
      <c r="E35" s="164">
        <v>0.43055555555555558</v>
      </c>
      <c r="F35" s="165">
        <f t="shared" si="0"/>
        <v>7.2916666666666685E-2</v>
      </c>
      <c r="G35" s="166">
        <f t="shared" si="1"/>
        <v>1.7500000000000004</v>
      </c>
      <c r="H35" s="162" t="s">
        <v>42</v>
      </c>
      <c r="I35" s="162">
        <f t="shared" si="2"/>
        <v>4</v>
      </c>
      <c r="J35" s="167">
        <f>VLOOKUP(A35,Salários!$A$35:$P$42,I35+4,FALSE)</f>
        <v>30.200557291666669</v>
      </c>
      <c r="K35" s="168">
        <f t="shared" si="3"/>
        <v>52.850975260416682</v>
      </c>
    </row>
    <row r="36" spans="1:11" x14ac:dyDescent="0.25">
      <c r="A36" s="161" t="s">
        <v>30</v>
      </c>
      <c r="B36" s="162" t="s">
        <v>10</v>
      </c>
      <c r="C36" s="163">
        <v>42845</v>
      </c>
      <c r="D36" s="164">
        <v>0.65972222222222221</v>
      </c>
      <c r="E36" s="164">
        <v>0.78125</v>
      </c>
      <c r="F36" s="165">
        <f t="shared" si="0"/>
        <v>0.12152777777777779</v>
      </c>
      <c r="G36" s="166">
        <f t="shared" si="1"/>
        <v>2.916666666666667</v>
      </c>
      <c r="H36" s="162" t="s">
        <v>43</v>
      </c>
      <c r="I36" s="162">
        <f t="shared" si="2"/>
        <v>4</v>
      </c>
      <c r="J36" s="167">
        <f>VLOOKUP(A36,Salários!$A$35:$P$42,I36+4,FALSE)</f>
        <v>30.200557291666669</v>
      </c>
      <c r="K36" s="168">
        <f t="shared" si="3"/>
        <v>88.08495876736113</v>
      </c>
    </row>
    <row r="37" spans="1:11" x14ac:dyDescent="0.25">
      <c r="A37" s="161" t="s">
        <v>30</v>
      </c>
      <c r="B37" s="162" t="s">
        <v>11</v>
      </c>
      <c r="C37" s="163">
        <v>42886</v>
      </c>
      <c r="D37" s="164">
        <v>0.58333333333333337</v>
      </c>
      <c r="E37" s="164">
        <v>0.75</v>
      </c>
      <c r="F37" s="165">
        <f t="shared" si="0"/>
        <v>0.16666666666666663</v>
      </c>
      <c r="G37" s="166">
        <f t="shared" si="1"/>
        <v>3.9999999999999991</v>
      </c>
      <c r="H37" s="162" t="s">
        <v>42</v>
      </c>
      <c r="I37" s="162">
        <f t="shared" si="2"/>
        <v>5</v>
      </c>
      <c r="J37" s="167">
        <f>VLOOKUP(A37,Salários!$A$35:$P$42,I37+4,FALSE)</f>
        <v>27.455052083333335</v>
      </c>
      <c r="K37" s="168">
        <f t="shared" si="3"/>
        <v>109.82020833333331</v>
      </c>
    </row>
    <row r="38" spans="1:11" x14ac:dyDescent="0.25">
      <c r="A38" s="161" t="s">
        <v>30</v>
      </c>
      <c r="B38" s="162" t="s">
        <v>12</v>
      </c>
      <c r="C38" s="163">
        <v>42938</v>
      </c>
      <c r="D38" s="164">
        <v>0.64583333333333337</v>
      </c>
      <c r="E38" s="164">
        <v>0.67708333333333337</v>
      </c>
      <c r="F38" s="165">
        <f t="shared" si="0"/>
        <v>3.125E-2</v>
      </c>
      <c r="G38" s="166">
        <f t="shared" si="1"/>
        <v>0.75</v>
      </c>
      <c r="H38" s="162" t="s">
        <v>44</v>
      </c>
      <c r="I38" s="162">
        <f t="shared" si="2"/>
        <v>7</v>
      </c>
      <c r="J38" s="167">
        <f>VLOOKUP(A38,Salários!$A$35:$P$42,I38+4,FALSE)</f>
        <v>28.762435515873019</v>
      </c>
      <c r="K38" s="168">
        <f t="shared" si="3"/>
        <v>21.571826636904763</v>
      </c>
    </row>
    <row r="39" spans="1:11" x14ac:dyDescent="0.25">
      <c r="A39" s="161" t="s">
        <v>35</v>
      </c>
      <c r="B39" s="162" t="s">
        <v>12</v>
      </c>
      <c r="C39" s="163">
        <v>42938</v>
      </c>
      <c r="D39" s="164">
        <v>0.64583333333333337</v>
      </c>
      <c r="E39" s="164">
        <v>0.67708333333333337</v>
      </c>
      <c r="F39" s="165">
        <f t="shared" si="0"/>
        <v>3.125E-2</v>
      </c>
      <c r="G39" s="166">
        <f t="shared" si="1"/>
        <v>0.75</v>
      </c>
      <c r="H39" s="162" t="s">
        <v>44</v>
      </c>
      <c r="I39" s="162">
        <f t="shared" si="2"/>
        <v>7</v>
      </c>
      <c r="J39" s="167">
        <f>VLOOKUP(A39,Salários!$A$35:$P$42,I39+4,FALSE)</f>
        <v>41.066706349206356</v>
      </c>
      <c r="K39" s="168">
        <f t="shared" si="3"/>
        <v>30.800029761904767</v>
      </c>
    </row>
    <row r="40" spans="1:11" x14ac:dyDescent="0.25">
      <c r="A40" s="161" t="s">
        <v>35</v>
      </c>
      <c r="B40" s="162" t="s">
        <v>14</v>
      </c>
      <c r="C40" s="163">
        <v>42990</v>
      </c>
      <c r="D40" s="164">
        <v>0.3611111111111111</v>
      </c>
      <c r="E40" s="164">
        <v>0.41666666666666669</v>
      </c>
      <c r="F40" s="165">
        <f t="shared" si="0"/>
        <v>5.555555555555558E-2</v>
      </c>
      <c r="G40" s="166">
        <f t="shared" si="1"/>
        <v>1.3333333333333339</v>
      </c>
      <c r="H40" s="162" t="s">
        <v>42</v>
      </c>
      <c r="I40" s="162">
        <f t="shared" si="2"/>
        <v>9</v>
      </c>
      <c r="J40" s="167">
        <f>VLOOKUP(A40,Salários!$A$35:$P$42,I40+4,FALSE)</f>
        <v>47.270437500000007</v>
      </c>
      <c r="K40" s="168">
        <f t="shared" si="3"/>
        <v>63.027250000000038</v>
      </c>
    </row>
    <row r="41" spans="1:11" x14ac:dyDescent="0.25">
      <c r="A41" s="161" t="s">
        <v>35</v>
      </c>
      <c r="B41" s="162" t="s">
        <v>14</v>
      </c>
      <c r="C41" s="163">
        <v>42991</v>
      </c>
      <c r="D41" s="164">
        <v>0.55208333333333337</v>
      </c>
      <c r="E41" s="164">
        <v>0.60416666666666663</v>
      </c>
      <c r="F41" s="165">
        <f t="shared" si="0"/>
        <v>5.2083333333333259E-2</v>
      </c>
      <c r="G41" s="166">
        <f t="shared" si="1"/>
        <v>1.2499999999999982</v>
      </c>
      <c r="H41" s="162" t="s">
        <v>42</v>
      </c>
      <c r="I41" s="162">
        <f t="shared" si="2"/>
        <v>9</v>
      </c>
      <c r="J41" s="167">
        <f>VLOOKUP(A41,Salários!$A$35:$P$42,I41+4,FALSE)</f>
        <v>47.270437500000007</v>
      </c>
      <c r="K41" s="168">
        <f t="shared" si="3"/>
        <v>59.088046874999925</v>
      </c>
    </row>
    <row r="42" spans="1:11" x14ac:dyDescent="0.25">
      <c r="A42" s="161" t="s">
        <v>35</v>
      </c>
      <c r="B42" s="162" t="s">
        <v>12</v>
      </c>
      <c r="C42" s="163">
        <v>43005</v>
      </c>
      <c r="D42" s="164">
        <v>0.375</v>
      </c>
      <c r="E42" s="164">
        <v>0.52083333333333337</v>
      </c>
      <c r="F42" s="165">
        <f t="shared" si="0"/>
        <v>0.14583333333333337</v>
      </c>
      <c r="G42" s="166">
        <f t="shared" si="1"/>
        <v>3.5000000000000009</v>
      </c>
      <c r="H42" s="162" t="s">
        <v>42</v>
      </c>
      <c r="I42" s="162">
        <f t="shared" si="2"/>
        <v>9</v>
      </c>
      <c r="J42" s="167">
        <f>VLOOKUP(A42,Salários!$A$35:$P$42,I42+4,FALSE)</f>
        <v>47.270437500000007</v>
      </c>
      <c r="K42" s="168">
        <f t="shared" si="3"/>
        <v>165.44653125000008</v>
      </c>
    </row>
    <row r="43" spans="1:11" x14ac:dyDescent="0.25">
      <c r="A43" s="161" t="s">
        <v>35</v>
      </c>
      <c r="B43" s="162" t="s">
        <v>12</v>
      </c>
      <c r="C43" s="163">
        <v>43005</v>
      </c>
      <c r="D43" s="164">
        <v>0.67708333333333337</v>
      </c>
      <c r="E43" s="164">
        <v>0.75</v>
      </c>
      <c r="F43" s="165">
        <f t="shared" si="0"/>
        <v>7.291666666666663E-2</v>
      </c>
      <c r="G43" s="166">
        <f t="shared" si="1"/>
        <v>1.7499999999999991</v>
      </c>
      <c r="H43" s="162" t="s">
        <v>43</v>
      </c>
      <c r="I43" s="162">
        <f t="shared" si="2"/>
        <v>9</v>
      </c>
      <c r="J43" s="167">
        <f>VLOOKUP(A43,Salários!$A$35:$P$42,I43+4,FALSE)</f>
        <v>47.270437500000007</v>
      </c>
      <c r="K43" s="168">
        <f t="shared" si="3"/>
        <v>82.723265624999968</v>
      </c>
    </row>
    <row r="44" spans="1:11" x14ac:dyDescent="0.25">
      <c r="A44" s="161" t="s">
        <v>35</v>
      </c>
      <c r="B44" s="162" t="s">
        <v>14</v>
      </c>
      <c r="C44" s="163">
        <v>43007</v>
      </c>
      <c r="D44" s="164">
        <v>0.39305555555555555</v>
      </c>
      <c r="E44" s="164">
        <v>0.43472222222222223</v>
      </c>
      <c r="F44" s="165">
        <f t="shared" si="0"/>
        <v>4.1666666666666685E-2</v>
      </c>
      <c r="G44" s="166">
        <f t="shared" si="1"/>
        <v>1.0000000000000004</v>
      </c>
      <c r="H44" s="162" t="s">
        <v>43</v>
      </c>
      <c r="I44" s="162">
        <f t="shared" si="2"/>
        <v>9</v>
      </c>
      <c r="J44" s="167">
        <f>VLOOKUP(A44,Salários!$A$35:$P$42,I44+4,FALSE)</f>
        <v>47.270437500000007</v>
      </c>
      <c r="K44" s="168">
        <f t="shared" si="3"/>
        <v>47.270437500000028</v>
      </c>
    </row>
    <row r="45" spans="1:11" x14ac:dyDescent="0.25">
      <c r="A45" s="161" t="s">
        <v>35</v>
      </c>
      <c r="B45" s="162" t="s">
        <v>16</v>
      </c>
      <c r="C45" s="163">
        <v>43035</v>
      </c>
      <c r="D45" s="164">
        <v>0.3888888888888889</v>
      </c>
      <c r="E45" s="164">
        <v>0.625</v>
      </c>
      <c r="F45" s="165">
        <f t="shared" si="0"/>
        <v>0.2361111111111111</v>
      </c>
      <c r="G45" s="166">
        <f t="shared" si="1"/>
        <v>5.6666666666666661</v>
      </c>
      <c r="H45" s="162" t="s">
        <v>42</v>
      </c>
      <c r="I45" s="162">
        <f t="shared" si="2"/>
        <v>10</v>
      </c>
      <c r="J45" s="167">
        <f>VLOOKUP(A45,Salários!$A$35:$P$42,I45+4,FALSE)</f>
        <v>47.270437500000007</v>
      </c>
      <c r="K45" s="168">
        <f t="shared" si="3"/>
        <v>267.8658125</v>
      </c>
    </row>
    <row r="46" spans="1:11" x14ac:dyDescent="0.25">
      <c r="A46" s="161" t="s">
        <v>35</v>
      </c>
      <c r="B46" s="162" t="s">
        <v>16</v>
      </c>
      <c r="C46" s="163">
        <v>43036</v>
      </c>
      <c r="D46" s="164">
        <v>0.5625</v>
      </c>
      <c r="E46" s="164">
        <v>0.66666666666666663</v>
      </c>
      <c r="F46" s="165">
        <f t="shared" si="0"/>
        <v>0.10416666666666663</v>
      </c>
      <c r="G46" s="166">
        <f t="shared" si="1"/>
        <v>2.4999999999999991</v>
      </c>
      <c r="H46" s="162" t="s">
        <v>42</v>
      </c>
      <c r="I46" s="162">
        <f t="shared" si="2"/>
        <v>10</v>
      </c>
      <c r="J46" s="167">
        <f>VLOOKUP(A46,Salários!$A$35:$P$42,I46+4,FALSE)</f>
        <v>47.270437500000007</v>
      </c>
      <c r="K46" s="168">
        <f t="shared" si="3"/>
        <v>118.17609374999998</v>
      </c>
    </row>
    <row r="47" spans="1:11" x14ac:dyDescent="0.25">
      <c r="A47" s="161" t="s">
        <v>35</v>
      </c>
      <c r="B47" s="162" t="s">
        <v>16</v>
      </c>
      <c r="C47" s="163">
        <v>43040</v>
      </c>
      <c r="D47" s="164">
        <v>0.4826388888888889</v>
      </c>
      <c r="E47" s="164">
        <v>0.75</v>
      </c>
      <c r="F47" s="165">
        <f t="shared" si="0"/>
        <v>0.2673611111111111</v>
      </c>
      <c r="G47" s="166">
        <f t="shared" si="1"/>
        <v>6.4166666666666661</v>
      </c>
      <c r="H47" s="162" t="s">
        <v>41</v>
      </c>
      <c r="I47" s="162">
        <f t="shared" si="2"/>
        <v>11</v>
      </c>
      <c r="J47" s="167">
        <f>VLOOKUP(A47,Salários!$A$35:$P$42,I47+4,FALSE)</f>
        <v>45.019464285714292</v>
      </c>
      <c r="K47" s="168">
        <f t="shared" si="3"/>
        <v>288.87489583333337</v>
      </c>
    </row>
    <row r="48" spans="1:11" x14ac:dyDescent="0.25">
      <c r="A48" s="161" t="s">
        <v>35</v>
      </c>
      <c r="B48" s="162" t="s">
        <v>18</v>
      </c>
      <c r="C48" s="163">
        <v>43068</v>
      </c>
      <c r="D48" s="164">
        <v>0.58333333333333337</v>
      </c>
      <c r="E48" s="164">
        <v>0.70833333333333337</v>
      </c>
      <c r="F48" s="165">
        <f t="shared" si="0"/>
        <v>0.125</v>
      </c>
      <c r="G48" s="166">
        <f t="shared" si="1"/>
        <v>3</v>
      </c>
      <c r="H48" s="162" t="s">
        <v>42</v>
      </c>
      <c r="I48" s="162">
        <f t="shared" si="2"/>
        <v>11</v>
      </c>
      <c r="J48" s="167">
        <f>VLOOKUP(A48,Salários!$A$35:$P$42,I48+4,FALSE)</f>
        <v>45.019464285714292</v>
      </c>
      <c r="K48" s="168">
        <f t="shared" si="3"/>
        <v>135.05839285714288</v>
      </c>
    </row>
    <row r="49" spans="1:11" x14ac:dyDescent="0.25">
      <c r="A49" s="161" t="s">
        <v>35</v>
      </c>
      <c r="B49" s="162" t="s">
        <v>18</v>
      </c>
      <c r="C49" s="163">
        <v>43069</v>
      </c>
      <c r="D49" s="164">
        <v>0.70833333333333337</v>
      </c>
      <c r="E49" s="164">
        <v>0.75</v>
      </c>
      <c r="F49" s="165">
        <f t="shared" si="0"/>
        <v>4.166666666666663E-2</v>
      </c>
      <c r="G49" s="166">
        <f t="shared" si="1"/>
        <v>0.99999999999999911</v>
      </c>
      <c r="H49" s="162" t="s">
        <v>37</v>
      </c>
      <c r="I49" s="162">
        <f t="shared" si="2"/>
        <v>11</v>
      </c>
      <c r="J49" s="167">
        <f>VLOOKUP(A49,Salários!$A$35:$P$42,I49+4,FALSE)</f>
        <v>45.019464285714292</v>
      </c>
      <c r="K49" s="168">
        <f t="shared" si="3"/>
        <v>45.01946428571425</v>
      </c>
    </row>
    <row r="50" spans="1:11" x14ac:dyDescent="0.25">
      <c r="A50" s="161" t="s">
        <v>35</v>
      </c>
      <c r="B50" s="162" t="s">
        <v>17</v>
      </c>
      <c r="C50" s="163">
        <v>43069</v>
      </c>
      <c r="D50" s="164">
        <v>0.34375</v>
      </c>
      <c r="E50" s="164">
        <v>0.75</v>
      </c>
      <c r="F50" s="165">
        <f t="shared" si="0"/>
        <v>0.40625</v>
      </c>
      <c r="G50" s="166">
        <f t="shared" si="1"/>
        <v>9.75</v>
      </c>
      <c r="H50" s="162" t="s">
        <v>42</v>
      </c>
      <c r="I50" s="162">
        <f t="shared" si="2"/>
        <v>11</v>
      </c>
      <c r="J50" s="167">
        <f>VLOOKUP(A50,Salários!$A$35:$P$42,I50+4,FALSE)</f>
        <v>45.019464285714292</v>
      </c>
      <c r="K50" s="168">
        <f t="shared" si="3"/>
        <v>438.93977678571434</v>
      </c>
    </row>
    <row r="51" spans="1:11" x14ac:dyDescent="0.25">
      <c r="A51" s="161" t="s">
        <v>35</v>
      </c>
      <c r="B51" s="162" t="s">
        <v>18</v>
      </c>
      <c r="C51" s="163">
        <v>43070</v>
      </c>
      <c r="D51" s="164">
        <v>0.34375</v>
      </c>
      <c r="E51" s="164">
        <v>0.66666666666666663</v>
      </c>
      <c r="F51" s="165">
        <f t="shared" si="0"/>
        <v>0.32291666666666663</v>
      </c>
      <c r="G51" s="166">
        <f t="shared" si="1"/>
        <v>7.7499999999999991</v>
      </c>
      <c r="H51" s="162" t="s">
        <v>37</v>
      </c>
      <c r="I51" s="162">
        <f t="shared" si="2"/>
        <v>12</v>
      </c>
      <c r="J51" s="167">
        <f>VLOOKUP(A51,Salários!$A$35:$P$42,I51+4,FALSE)</f>
        <v>42.973125000000003</v>
      </c>
      <c r="K51" s="168">
        <f t="shared" si="3"/>
        <v>333.04171874999997</v>
      </c>
    </row>
    <row r="52" spans="1:11" x14ac:dyDescent="0.25">
      <c r="A52" s="161" t="s">
        <v>35</v>
      </c>
      <c r="B52" s="162" t="s">
        <v>17</v>
      </c>
      <c r="C52" s="163">
        <v>43070</v>
      </c>
      <c r="D52" s="164">
        <v>0.59027777777777779</v>
      </c>
      <c r="E52" s="164">
        <v>0.6875</v>
      </c>
      <c r="F52" s="165">
        <f t="shared" si="0"/>
        <v>9.722222222222221E-2</v>
      </c>
      <c r="G52" s="166">
        <f t="shared" si="1"/>
        <v>2.333333333333333</v>
      </c>
      <c r="H52" s="162" t="s">
        <v>38</v>
      </c>
      <c r="I52" s="162">
        <f t="shared" si="2"/>
        <v>12</v>
      </c>
      <c r="J52" s="167">
        <f>VLOOKUP(A52,Salários!$A$35:$P$42,I52+4,FALSE)</f>
        <v>42.973125000000003</v>
      </c>
      <c r="K52" s="168">
        <f t="shared" si="3"/>
        <v>100.270625</v>
      </c>
    </row>
    <row r="53" spans="1:11" x14ac:dyDescent="0.25">
      <c r="A53" s="161" t="s">
        <v>35</v>
      </c>
      <c r="B53" s="162" t="s">
        <v>17</v>
      </c>
      <c r="C53" s="163">
        <v>43074</v>
      </c>
      <c r="D53" s="164">
        <v>0.3888888888888889</v>
      </c>
      <c r="E53" s="164">
        <v>0.47222222222222227</v>
      </c>
      <c r="F53" s="165">
        <f t="shared" si="0"/>
        <v>8.333333333333337E-2</v>
      </c>
      <c r="G53" s="166">
        <f t="shared" si="1"/>
        <v>2.0000000000000009</v>
      </c>
      <c r="H53" s="162" t="s">
        <v>39</v>
      </c>
      <c r="I53" s="162">
        <f t="shared" si="2"/>
        <v>12</v>
      </c>
      <c r="J53" s="167">
        <f>VLOOKUP(A53,Salários!$A$35:$P$42,I53+4,FALSE)</f>
        <v>42.973125000000003</v>
      </c>
      <c r="K53" s="168">
        <f t="shared" si="3"/>
        <v>85.946250000000049</v>
      </c>
    </row>
    <row r="54" spans="1:11" x14ac:dyDescent="0.25">
      <c r="A54" s="161" t="s">
        <v>35</v>
      </c>
      <c r="B54" s="162" t="s">
        <v>17</v>
      </c>
      <c r="C54" s="163">
        <v>43074</v>
      </c>
      <c r="D54" s="164">
        <v>0.49305555555555558</v>
      </c>
      <c r="E54" s="164">
        <v>0.55208333333333337</v>
      </c>
      <c r="F54" s="165">
        <f t="shared" si="0"/>
        <v>5.902777777777779E-2</v>
      </c>
      <c r="G54" s="166">
        <f t="shared" si="1"/>
        <v>1.416666666666667</v>
      </c>
      <c r="H54" s="162" t="s">
        <v>40</v>
      </c>
      <c r="I54" s="162">
        <f t="shared" si="2"/>
        <v>12</v>
      </c>
      <c r="J54" s="167">
        <f>VLOOKUP(A54,Salários!$A$35:$P$42,I54+4,FALSE)</f>
        <v>42.973125000000003</v>
      </c>
      <c r="K54" s="168">
        <f t="shared" si="3"/>
        <v>60.878593750000014</v>
      </c>
    </row>
    <row r="55" spans="1:11" x14ac:dyDescent="0.25">
      <c r="A55" s="161" t="s">
        <v>33</v>
      </c>
      <c r="B55" s="162" t="s">
        <v>12</v>
      </c>
      <c r="C55" s="163">
        <v>42938</v>
      </c>
      <c r="D55" s="164">
        <v>0.64583333333333337</v>
      </c>
      <c r="E55" s="164">
        <v>0.67708333333333337</v>
      </c>
      <c r="F55" s="165">
        <f t="shared" si="0"/>
        <v>3.125E-2</v>
      </c>
      <c r="G55" s="166">
        <f t="shared" si="1"/>
        <v>0.75</v>
      </c>
      <c r="H55" s="162" t="s">
        <v>44</v>
      </c>
      <c r="I55" s="162">
        <f t="shared" si="2"/>
        <v>7</v>
      </c>
      <c r="J55" s="167">
        <f>VLOOKUP(A55,Salários!$A$35:$P$42,I55+4,FALSE)</f>
        <v>30.354032738095242</v>
      </c>
      <c r="K55" s="168">
        <f t="shared" si="3"/>
        <v>22.765524553571431</v>
      </c>
    </row>
    <row r="56" spans="1:11" x14ac:dyDescent="0.25">
      <c r="A56" s="161" t="s">
        <v>33</v>
      </c>
      <c r="B56" s="162" t="s">
        <v>14</v>
      </c>
      <c r="C56" s="163">
        <v>42990</v>
      </c>
      <c r="D56" s="164">
        <v>0.3611111111111111</v>
      </c>
      <c r="E56" s="164">
        <v>0.41666666666666669</v>
      </c>
      <c r="F56" s="165">
        <f t="shared" si="0"/>
        <v>5.555555555555558E-2</v>
      </c>
      <c r="G56" s="166">
        <f t="shared" si="1"/>
        <v>1.3333333333333339</v>
      </c>
      <c r="H56" s="162" t="s">
        <v>42</v>
      </c>
      <c r="I56" s="162">
        <f t="shared" si="2"/>
        <v>9</v>
      </c>
      <c r="J56" s="167">
        <f>VLOOKUP(A56,Salários!$A$35:$P$42,I56+4,FALSE)</f>
        <v>34.938619791666675</v>
      </c>
      <c r="K56" s="168">
        <f t="shared" si="3"/>
        <v>46.584826388888921</v>
      </c>
    </row>
    <row r="57" spans="1:11" x14ac:dyDescent="0.25">
      <c r="A57" s="161" t="s">
        <v>33</v>
      </c>
      <c r="B57" s="162" t="s">
        <v>14</v>
      </c>
      <c r="C57" s="163">
        <v>42991</v>
      </c>
      <c r="D57" s="164">
        <v>0.55208333333333337</v>
      </c>
      <c r="E57" s="164">
        <v>0.60416666666666663</v>
      </c>
      <c r="F57" s="165">
        <f t="shared" si="0"/>
        <v>5.2083333333333259E-2</v>
      </c>
      <c r="G57" s="166">
        <f t="shared" si="1"/>
        <v>1.2499999999999982</v>
      </c>
      <c r="H57" s="162" t="s">
        <v>42</v>
      </c>
      <c r="I57" s="162">
        <f t="shared" si="2"/>
        <v>9</v>
      </c>
      <c r="J57" s="167">
        <f>VLOOKUP(A57,Salários!$A$35:$P$42,I57+4,FALSE)</f>
        <v>34.938619791666675</v>
      </c>
      <c r="K57" s="168">
        <f t="shared" si="3"/>
        <v>43.673274739583285</v>
      </c>
    </row>
    <row r="58" spans="1:11" x14ac:dyDescent="0.25">
      <c r="A58" s="161" t="s">
        <v>33</v>
      </c>
      <c r="B58" s="162" t="s">
        <v>12</v>
      </c>
      <c r="C58" s="163">
        <v>43005</v>
      </c>
      <c r="D58" s="164">
        <v>0.375</v>
      </c>
      <c r="E58" s="164">
        <v>0.52083333333333337</v>
      </c>
      <c r="F58" s="165">
        <f t="shared" si="0"/>
        <v>0.14583333333333337</v>
      </c>
      <c r="G58" s="166">
        <f t="shared" si="1"/>
        <v>3.5000000000000009</v>
      </c>
      <c r="H58" s="162" t="s">
        <v>42</v>
      </c>
      <c r="I58" s="162">
        <f t="shared" si="2"/>
        <v>9</v>
      </c>
      <c r="J58" s="167">
        <f>VLOOKUP(A58,Salários!$A$35:$P$42,I58+4,FALSE)</f>
        <v>34.938619791666675</v>
      </c>
      <c r="K58" s="168">
        <f t="shared" si="3"/>
        <v>122.28516927083339</v>
      </c>
    </row>
    <row r="59" spans="1:11" x14ac:dyDescent="0.25">
      <c r="A59" s="161" t="s">
        <v>33</v>
      </c>
      <c r="B59" s="162" t="s">
        <v>12</v>
      </c>
      <c r="C59" s="163">
        <v>43005</v>
      </c>
      <c r="D59" s="164">
        <v>0.67708333333333337</v>
      </c>
      <c r="E59" s="164">
        <v>0.75</v>
      </c>
      <c r="F59" s="165">
        <f t="shared" si="0"/>
        <v>7.291666666666663E-2</v>
      </c>
      <c r="G59" s="166">
        <f t="shared" si="1"/>
        <v>1.7499999999999991</v>
      </c>
      <c r="H59" s="162" t="s">
        <v>43</v>
      </c>
      <c r="I59" s="162">
        <f t="shared" si="2"/>
        <v>9</v>
      </c>
      <c r="J59" s="167">
        <f>VLOOKUP(A59,Salários!$A$35:$P$42,I59+4,FALSE)</f>
        <v>34.938619791666675</v>
      </c>
      <c r="K59" s="168">
        <f t="shared" si="3"/>
        <v>61.142584635416647</v>
      </c>
    </row>
    <row r="60" spans="1:11" x14ac:dyDescent="0.25">
      <c r="A60" s="161" t="s">
        <v>33</v>
      </c>
      <c r="B60" s="162" t="s">
        <v>14</v>
      </c>
      <c r="C60" s="163">
        <v>43007</v>
      </c>
      <c r="D60" s="164">
        <v>0.39305555555555555</v>
      </c>
      <c r="E60" s="164">
        <v>0.43472222222222223</v>
      </c>
      <c r="F60" s="165">
        <f t="shared" si="0"/>
        <v>4.1666666666666685E-2</v>
      </c>
      <c r="G60" s="166">
        <f t="shared" si="1"/>
        <v>1.0000000000000004</v>
      </c>
      <c r="H60" s="162" t="s">
        <v>43</v>
      </c>
      <c r="I60" s="162">
        <f t="shared" si="2"/>
        <v>9</v>
      </c>
      <c r="J60" s="167">
        <f>VLOOKUP(A60,Salários!$A$35:$P$42,I60+4,FALSE)</f>
        <v>34.938619791666675</v>
      </c>
      <c r="K60" s="168">
        <f t="shared" si="3"/>
        <v>34.938619791666689</v>
      </c>
    </row>
    <row r="61" spans="1:11" x14ac:dyDescent="0.25">
      <c r="A61" s="169" t="s">
        <v>33</v>
      </c>
      <c r="B61" s="170" t="s">
        <v>15</v>
      </c>
      <c r="C61" s="171">
        <v>43005</v>
      </c>
      <c r="D61" s="172">
        <v>0.5625</v>
      </c>
      <c r="E61" s="172">
        <v>0.75</v>
      </c>
      <c r="F61" s="173">
        <f t="shared" si="0"/>
        <v>0.1875</v>
      </c>
      <c r="G61" s="174">
        <f t="shared" si="1"/>
        <v>4.5</v>
      </c>
      <c r="H61" s="175"/>
      <c r="I61" s="170">
        <f t="shared" si="2"/>
        <v>9</v>
      </c>
      <c r="J61" s="167">
        <f>VLOOKUP(A61,Salários!$A$35:$P$42,I61+4,FALSE)</f>
        <v>34.938619791666675</v>
      </c>
      <c r="K61" s="176">
        <f t="shared" si="3"/>
        <v>157.22378906250003</v>
      </c>
    </row>
    <row r="62" spans="1:11" x14ac:dyDescent="0.25">
      <c r="A62" s="161" t="s">
        <v>33</v>
      </c>
      <c r="B62" s="162" t="s">
        <v>16</v>
      </c>
      <c r="C62" s="163">
        <v>43035</v>
      </c>
      <c r="D62" s="164">
        <v>0.3888888888888889</v>
      </c>
      <c r="E62" s="164">
        <v>0.625</v>
      </c>
      <c r="F62" s="165">
        <f t="shared" si="0"/>
        <v>0.2361111111111111</v>
      </c>
      <c r="G62" s="166">
        <f t="shared" si="1"/>
        <v>5.6666666666666661</v>
      </c>
      <c r="H62" s="162" t="s">
        <v>42</v>
      </c>
      <c r="I62" s="162">
        <f t="shared" si="2"/>
        <v>10</v>
      </c>
      <c r="J62" s="167">
        <f>VLOOKUP(A62,Salários!$A$35:$P$42,I62+4,FALSE)</f>
        <v>34.938619791666675</v>
      </c>
      <c r="K62" s="168">
        <f t="shared" si="3"/>
        <v>197.9855121527778</v>
      </c>
    </row>
    <row r="63" spans="1:11" x14ac:dyDescent="0.25">
      <c r="A63" s="161" t="s">
        <v>33</v>
      </c>
      <c r="B63" s="162" t="s">
        <v>16</v>
      </c>
      <c r="C63" s="163">
        <v>43036</v>
      </c>
      <c r="D63" s="164">
        <v>0.5625</v>
      </c>
      <c r="E63" s="164">
        <v>0.66666666666666663</v>
      </c>
      <c r="F63" s="165">
        <f t="shared" si="0"/>
        <v>0.10416666666666663</v>
      </c>
      <c r="G63" s="166">
        <f t="shared" si="1"/>
        <v>2.4999999999999991</v>
      </c>
      <c r="H63" s="162" t="s">
        <v>42</v>
      </c>
      <c r="I63" s="162">
        <f t="shared" si="2"/>
        <v>10</v>
      </c>
      <c r="J63" s="167">
        <f>VLOOKUP(A63,Salários!$A$35:$P$42,I63+4,FALSE)</f>
        <v>34.938619791666675</v>
      </c>
      <c r="K63" s="168">
        <f t="shared" si="3"/>
        <v>87.346549479166654</v>
      </c>
    </row>
    <row r="64" spans="1:11" x14ac:dyDescent="0.25">
      <c r="A64" s="161" t="s">
        <v>33</v>
      </c>
      <c r="B64" s="162" t="s">
        <v>16</v>
      </c>
      <c r="C64" s="163">
        <v>43040</v>
      </c>
      <c r="D64" s="164">
        <v>0.4826388888888889</v>
      </c>
      <c r="E64" s="164">
        <v>0.75</v>
      </c>
      <c r="F64" s="165">
        <f t="shared" si="0"/>
        <v>0.2673611111111111</v>
      </c>
      <c r="G64" s="166">
        <f t="shared" si="1"/>
        <v>6.4166666666666661</v>
      </c>
      <c r="H64" s="162" t="s">
        <v>41</v>
      </c>
      <c r="I64" s="162">
        <f t="shared" si="2"/>
        <v>11</v>
      </c>
      <c r="J64" s="167">
        <f>VLOOKUP(A64,Salários!$A$35:$P$42,I64+4,FALSE)</f>
        <v>33.274875992063492</v>
      </c>
      <c r="K64" s="168">
        <f t="shared" si="3"/>
        <v>213.51378761574071</v>
      </c>
    </row>
    <row r="65" spans="1:11" x14ac:dyDescent="0.25">
      <c r="A65" s="161" t="s">
        <v>33</v>
      </c>
      <c r="B65" s="162" t="s">
        <v>18</v>
      </c>
      <c r="C65" s="163">
        <v>43068</v>
      </c>
      <c r="D65" s="164">
        <v>0.58333333333333337</v>
      </c>
      <c r="E65" s="164">
        <v>0.70833333333333337</v>
      </c>
      <c r="F65" s="165">
        <f t="shared" si="0"/>
        <v>0.125</v>
      </c>
      <c r="G65" s="166">
        <f t="shared" si="1"/>
        <v>3</v>
      </c>
      <c r="H65" s="162" t="s">
        <v>42</v>
      </c>
      <c r="I65" s="162">
        <f t="shared" si="2"/>
        <v>11</v>
      </c>
      <c r="J65" s="167">
        <f>VLOOKUP(A65,Salários!$A$35:$P$42,I65+4,FALSE)</f>
        <v>33.274875992063492</v>
      </c>
      <c r="K65" s="168">
        <f t="shared" si="3"/>
        <v>99.82462797619047</v>
      </c>
    </row>
    <row r="66" spans="1:11" x14ac:dyDescent="0.25">
      <c r="A66" s="161" t="s">
        <v>33</v>
      </c>
      <c r="B66" s="162" t="s">
        <v>18</v>
      </c>
      <c r="C66" s="163">
        <v>43069</v>
      </c>
      <c r="D66" s="164">
        <v>0.70833333333333337</v>
      </c>
      <c r="E66" s="164">
        <v>0.75</v>
      </c>
      <c r="F66" s="165">
        <f t="shared" si="0"/>
        <v>4.166666666666663E-2</v>
      </c>
      <c r="G66" s="166">
        <f t="shared" si="1"/>
        <v>0.99999999999999911</v>
      </c>
      <c r="H66" s="162" t="s">
        <v>37</v>
      </c>
      <c r="I66" s="162">
        <f t="shared" si="2"/>
        <v>11</v>
      </c>
      <c r="J66" s="167">
        <f>VLOOKUP(A66,Salários!$A$35:$P$42,I66+4,FALSE)</f>
        <v>33.274875992063492</v>
      </c>
      <c r="K66" s="168">
        <f t="shared" si="3"/>
        <v>33.274875992063464</v>
      </c>
    </row>
    <row r="67" spans="1:11" x14ac:dyDescent="0.25">
      <c r="A67" s="161" t="s">
        <v>33</v>
      </c>
      <c r="B67" s="162" t="s">
        <v>17</v>
      </c>
      <c r="C67" s="163">
        <v>43069</v>
      </c>
      <c r="D67" s="164">
        <v>0.34375</v>
      </c>
      <c r="E67" s="164">
        <v>0.75</v>
      </c>
      <c r="F67" s="165">
        <f t="shared" si="0"/>
        <v>0.40625</v>
      </c>
      <c r="G67" s="166">
        <f t="shared" si="1"/>
        <v>9.75</v>
      </c>
      <c r="H67" s="162" t="s">
        <v>42</v>
      </c>
      <c r="I67" s="162">
        <f t="shared" si="2"/>
        <v>11</v>
      </c>
      <c r="J67" s="167">
        <f>VLOOKUP(A67,Salários!$A$35:$P$42,I67+4,FALSE)</f>
        <v>33.274875992063492</v>
      </c>
      <c r="K67" s="168">
        <f t="shared" si="3"/>
        <v>324.43004092261907</v>
      </c>
    </row>
    <row r="68" spans="1:11" x14ac:dyDescent="0.25">
      <c r="A68" s="161" t="s">
        <v>33</v>
      </c>
      <c r="B68" s="162" t="s">
        <v>18</v>
      </c>
      <c r="C68" s="163">
        <v>43070</v>
      </c>
      <c r="D68" s="164">
        <v>0.34375</v>
      </c>
      <c r="E68" s="164">
        <v>0.66666666666666663</v>
      </c>
      <c r="F68" s="165">
        <f t="shared" si="0"/>
        <v>0.32291666666666663</v>
      </c>
      <c r="G68" s="166">
        <f t="shared" si="1"/>
        <v>7.7499999999999991</v>
      </c>
      <c r="H68" s="162" t="s">
        <v>37</v>
      </c>
      <c r="I68" s="162">
        <f t="shared" si="2"/>
        <v>12</v>
      </c>
      <c r="J68" s="167">
        <f>VLOOKUP(A68,Salários!$A$35:$P$42,I68+4,FALSE)</f>
        <v>31.762381628787882</v>
      </c>
      <c r="K68" s="168">
        <f t="shared" si="3"/>
        <v>246.15845762310605</v>
      </c>
    </row>
    <row r="69" spans="1:11" x14ac:dyDescent="0.25">
      <c r="A69" s="161" t="s">
        <v>33</v>
      </c>
      <c r="B69" s="162" t="s">
        <v>17</v>
      </c>
      <c r="C69" s="163">
        <v>43070</v>
      </c>
      <c r="D69" s="164">
        <v>0.59027777777777779</v>
      </c>
      <c r="E69" s="164">
        <v>0.6875</v>
      </c>
      <c r="F69" s="165">
        <f t="shared" si="0"/>
        <v>9.722222222222221E-2</v>
      </c>
      <c r="G69" s="166">
        <f t="shared" si="1"/>
        <v>2.333333333333333</v>
      </c>
      <c r="H69" s="162" t="s">
        <v>38</v>
      </c>
      <c r="I69" s="162">
        <f t="shared" si="2"/>
        <v>12</v>
      </c>
      <c r="J69" s="167">
        <f>VLOOKUP(A69,Salários!$A$35:$P$42,I69+4,FALSE)</f>
        <v>31.762381628787882</v>
      </c>
      <c r="K69" s="168">
        <f t="shared" si="3"/>
        <v>74.112223800505049</v>
      </c>
    </row>
    <row r="70" spans="1:11" x14ac:dyDescent="0.25">
      <c r="A70" s="161" t="s">
        <v>33</v>
      </c>
      <c r="B70" s="162" t="s">
        <v>17</v>
      </c>
      <c r="C70" s="163">
        <v>43074</v>
      </c>
      <c r="D70" s="164">
        <v>0.3888888888888889</v>
      </c>
      <c r="E70" s="164">
        <v>0.47222222222222227</v>
      </c>
      <c r="F70" s="165">
        <f t="shared" si="0"/>
        <v>8.333333333333337E-2</v>
      </c>
      <c r="G70" s="166">
        <f t="shared" si="1"/>
        <v>2.0000000000000009</v>
      </c>
      <c r="H70" s="162" t="s">
        <v>39</v>
      </c>
      <c r="I70" s="162">
        <f t="shared" si="2"/>
        <v>12</v>
      </c>
      <c r="J70" s="167">
        <f>VLOOKUP(A70,Salários!$A$35:$P$42,I70+4,FALSE)</f>
        <v>31.762381628787882</v>
      </c>
      <c r="K70" s="168">
        <f t="shared" si="3"/>
        <v>63.524763257575792</v>
      </c>
    </row>
    <row r="71" spans="1:11" x14ac:dyDescent="0.25">
      <c r="A71" s="161" t="s">
        <v>33</v>
      </c>
      <c r="B71" s="162" t="s">
        <v>17</v>
      </c>
      <c r="C71" s="163">
        <v>43074</v>
      </c>
      <c r="D71" s="164">
        <v>0.49305555555555558</v>
      </c>
      <c r="E71" s="164">
        <v>0.55208333333333337</v>
      </c>
      <c r="F71" s="165">
        <f t="shared" si="0"/>
        <v>5.902777777777779E-2</v>
      </c>
      <c r="G71" s="166">
        <f t="shared" si="1"/>
        <v>1.416666666666667</v>
      </c>
      <c r="H71" s="162" t="s">
        <v>40</v>
      </c>
      <c r="I71" s="162">
        <f t="shared" si="2"/>
        <v>12</v>
      </c>
      <c r="J71" s="167">
        <f>VLOOKUP(A71,Salários!$A$35:$P$42,I71+4,FALSE)</f>
        <v>31.762381628787882</v>
      </c>
      <c r="K71" s="168">
        <f t="shared" si="3"/>
        <v>44.996707307449512</v>
      </c>
    </row>
  </sheetData>
  <autoFilter ref="A8:K71"/>
  <pageMargins left="0.70866141732283472" right="0.70866141732283472" top="0.74803149606299213" bottom="0.74803149606299213" header="0.31496062992125984" footer="0.31496062992125984"/>
  <pageSetup paperSize="9" scale="5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Q13"/>
  <sheetViews>
    <sheetView workbookViewId="0">
      <selection activeCell="B8" sqref="B8"/>
    </sheetView>
  </sheetViews>
  <sheetFormatPr defaultRowHeight="15" x14ac:dyDescent="0.25"/>
  <cols>
    <col min="1" max="1" width="18" bestFit="1" customWidth="1"/>
    <col min="2" max="2" width="14" bestFit="1" customWidth="1"/>
    <col min="3" max="3" width="16.140625" hidden="1" customWidth="1"/>
    <col min="4" max="4" width="10.42578125" hidden="1" customWidth="1"/>
    <col min="5" max="16" width="10" style="145" bestFit="1" customWidth="1"/>
    <col min="17" max="17" width="13.28515625" bestFit="1" customWidth="1"/>
  </cols>
  <sheetData>
    <row r="1" spans="1:17" ht="26.25" x14ac:dyDescent="0.4">
      <c r="A1" s="1" t="s">
        <v>373</v>
      </c>
    </row>
    <row r="2" spans="1:17" ht="21" x14ac:dyDescent="0.35">
      <c r="A2" s="139" t="s">
        <v>378</v>
      </c>
    </row>
    <row r="3" spans="1:17" x14ac:dyDescent="0.25">
      <c r="A3" t="s">
        <v>0</v>
      </c>
    </row>
    <row r="4" spans="1:17" x14ac:dyDescent="0.25">
      <c r="A4" t="s">
        <v>312</v>
      </c>
    </row>
    <row r="8" spans="1:17" x14ac:dyDescent="0.25">
      <c r="A8" s="179" t="s">
        <v>382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x14ac:dyDescent="0.25">
      <c r="A9" s="180" t="s">
        <v>19</v>
      </c>
      <c r="B9" s="180" t="s">
        <v>20</v>
      </c>
      <c r="C9" s="180" t="s">
        <v>383</v>
      </c>
      <c r="D9" s="180" t="s">
        <v>289</v>
      </c>
      <c r="E9" s="181" t="s">
        <v>277</v>
      </c>
      <c r="F9" s="181" t="s">
        <v>278</v>
      </c>
      <c r="G9" s="181" t="s">
        <v>279</v>
      </c>
      <c r="H9" s="181" t="s">
        <v>280</v>
      </c>
      <c r="I9" s="181" t="s">
        <v>281</v>
      </c>
      <c r="J9" s="181" t="s">
        <v>282</v>
      </c>
      <c r="K9" s="181" t="s">
        <v>283</v>
      </c>
      <c r="L9" s="181" t="s">
        <v>284</v>
      </c>
      <c r="M9" s="181" t="s">
        <v>285</v>
      </c>
      <c r="N9" s="181" t="s">
        <v>286</v>
      </c>
      <c r="O9" s="181" t="s">
        <v>287</v>
      </c>
      <c r="P9" s="181" t="s">
        <v>288</v>
      </c>
      <c r="Q9" s="180" t="s">
        <v>67</v>
      </c>
    </row>
    <row r="10" spans="1:17" x14ac:dyDescent="0.25">
      <c r="A10" s="162" t="s">
        <v>21</v>
      </c>
      <c r="B10" s="162" t="s">
        <v>22</v>
      </c>
      <c r="C10" s="166">
        <v>2668</v>
      </c>
      <c r="D10" s="166" t="s">
        <v>290</v>
      </c>
      <c r="E10" s="182">
        <v>3219.2380000000003</v>
      </c>
      <c r="F10" s="182">
        <v>3576.392416666667</v>
      </c>
      <c r="G10" s="182">
        <v>3576.392416666667</v>
      </c>
      <c r="H10" s="182">
        <v>3576.392416666667</v>
      </c>
      <c r="I10" s="182">
        <v>3576.392416666667</v>
      </c>
      <c r="J10" s="182">
        <v>3576.392416666667</v>
      </c>
      <c r="K10" s="182">
        <v>3576.392416666667</v>
      </c>
      <c r="L10" s="182">
        <v>3576.392416666667</v>
      </c>
      <c r="M10" s="182">
        <v>4311.7103333333334</v>
      </c>
      <c r="N10" s="182">
        <v>4311.7103333333334</v>
      </c>
      <c r="O10" s="182">
        <v>4311.7103333333334</v>
      </c>
      <c r="P10" s="182">
        <v>4311.7103333333334</v>
      </c>
      <c r="Q10" s="168">
        <f>SUM(E10:P10)</f>
        <v>45500.826250000006</v>
      </c>
    </row>
    <row r="11" spans="1:17" x14ac:dyDescent="0.25">
      <c r="A11" s="162" t="s">
        <v>25</v>
      </c>
      <c r="B11" s="162" t="s">
        <v>26</v>
      </c>
      <c r="C11" s="166">
        <v>5148</v>
      </c>
      <c r="D11" s="166" t="s">
        <v>290</v>
      </c>
      <c r="E11" s="182">
        <v>6398.0739166666672</v>
      </c>
      <c r="F11" s="182">
        <v>6398.0739166666672</v>
      </c>
      <c r="G11" s="182">
        <v>6398.0739166666672</v>
      </c>
      <c r="H11" s="182">
        <v>6496.6550000000007</v>
      </c>
      <c r="I11" s="182">
        <v>6496.6550000000007</v>
      </c>
      <c r="J11" s="182">
        <v>7589.1273333333347</v>
      </c>
      <c r="K11" s="182">
        <v>7589.1273333333347</v>
      </c>
      <c r="L11" s="182">
        <v>7589.1273333333347</v>
      </c>
      <c r="M11" s="182">
        <v>8319.5970000000016</v>
      </c>
      <c r="N11" s="182">
        <v>8319.5970000000016</v>
      </c>
      <c r="O11" s="182">
        <v>8319.5970000000016</v>
      </c>
      <c r="P11" s="182">
        <v>8319.5970000000016</v>
      </c>
      <c r="Q11" s="168">
        <f t="shared" ref="Q11:Q12" si="0">SUM(E11:P11)</f>
        <v>88233.301750000042</v>
      </c>
    </row>
    <row r="12" spans="1:17" x14ac:dyDescent="0.25">
      <c r="A12" s="162" t="s">
        <v>28</v>
      </c>
      <c r="B12" s="162" t="s">
        <v>29</v>
      </c>
      <c r="C12" s="166">
        <v>3289</v>
      </c>
      <c r="D12" s="166" t="s">
        <v>290</v>
      </c>
      <c r="E12" s="182">
        <v>5315.298083333334</v>
      </c>
      <c r="F12" s="182">
        <v>5315.298083333334</v>
      </c>
      <c r="G12" s="182">
        <v>5315.298083333334</v>
      </c>
      <c r="H12" s="182">
        <v>5315.298083333334</v>
      </c>
      <c r="I12" s="182">
        <v>0</v>
      </c>
      <c r="J12" s="182">
        <v>0</v>
      </c>
      <c r="K12" s="182">
        <v>0</v>
      </c>
      <c r="L12" s="182">
        <v>0</v>
      </c>
      <c r="M12" s="182">
        <v>0</v>
      </c>
      <c r="N12" s="182">
        <v>0</v>
      </c>
      <c r="O12" s="182">
        <v>0</v>
      </c>
      <c r="P12" s="182">
        <v>0</v>
      </c>
      <c r="Q12" s="168">
        <f t="shared" si="0"/>
        <v>21261.192333333336</v>
      </c>
    </row>
    <row r="13" spans="1:17" x14ac:dyDescent="0.25">
      <c r="A13" s="183"/>
      <c r="B13" s="183"/>
      <c r="C13" s="183"/>
      <c r="D13" s="183"/>
      <c r="E13" s="184">
        <f t="shared" ref="E13:Q13" si="1">SUM(E10:E12)</f>
        <v>14932.61</v>
      </c>
      <c r="F13" s="184">
        <f t="shared" si="1"/>
        <v>15289.764416666669</v>
      </c>
      <c r="G13" s="184">
        <f t="shared" si="1"/>
        <v>15289.764416666669</v>
      </c>
      <c r="H13" s="184">
        <f t="shared" si="1"/>
        <v>15388.345500000003</v>
      </c>
      <c r="I13" s="184">
        <f t="shared" si="1"/>
        <v>10073.047416666668</v>
      </c>
      <c r="J13" s="184">
        <f t="shared" si="1"/>
        <v>11165.519750000001</v>
      </c>
      <c r="K13" s="184">
        <f t="shared" si="1"/>
        <v>11165.519750000001</v>
      </c>
      <c r="L13" s="184">
        <f t="shared" si="1"/>
        <v>11165.519750000001</v>
      </c>
      <c r="M13" s="184">
        <f t="shared" si="1"/>
        <v>12631.307333333334</v>
      </c>
      <c r="N13" s="184">
        <f t="shared" si="1"/>
        <v>12631.307333333334</v>
      </c>
      <c r="O13" s="184">
        <f t="shared" si="1"/>
        <v>12631.307333333334</v>
      </c>
      <c r="P13" s="184">
        <f t="shared" si="1"/>
        <v>12631.307333333334</v>
      </c>
      <c r="Q13" s="185">
        <f t="shared" si="1"/>
        <v>154995.32033333339</v>
      </c>
    </row>
  </sheetData>
  <mergeCells count="1">
    <mergeCell ref="A8:Q8"/>
  </mergeCells>
  <pageMargins left="0.51181102362204722" right="0.51181102362204722" top="0.78740157480314965" bottom="0.78740157480314965" header="0.31496062992125984" footer="0.31496062992125984"/>
  <pageSetup paperSize="9"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Q42"/>
  <sheetViews>
    <sheetView zoomScale="85" zoomScaleNormal="85" workbookViewId="0">
      <selection activeCell="B8" sqref="B8"/>
    </sheetView>
  </sheetViews>
  <sheetFormatPr defaultRowHeight="15" x14ac:dyDescent="0.25"/>
  <cols>
    <col min="1" max="1" width="18" style="170" bestFit="1" customWidth="1"/>
    <col min="2" max="2" width="14" style="187" bestFit="1" customWidth="1"/>
    <col min="3" max="3" width="16.140625" style="170" hidden="1" customWidth="1"/>
    <col min="4" max="4" width="12.85546875" style="170" bestFit="1" customWidth="1"/>
    <col min="5" max="5" width="10.5703125" style="170" customWidth="1"/>
    <col min="6" max="6" width="11.5703125" style="170" bestFit="1" customWidth="1"/>
    <col min="7" max="8" width="10.5703125" style="170" bestFit="1" customWidth="1"/>
    <col min="9" max="9" width="12" style="170" customWidth="1"/>
    <col min="10" max="10" width="10.5703125" style="170" bestFit="1" customWidth="1"/>
    <col min="11" max="11" width="11.5703125" style="170" bestFit="1" customWidth="1"/>
    <col min="12" max="12" width="10.5703125" style="170" bestFit="1" customWidth="1"/>
    <col min="13" max="13" width="11.5703125" style="170" bestFit="1" customWidth="1"/>
    <col min="14" max="16" width="10.5703125" style="170" bestFit="1" customWidth="1"/>
    <col min="17" max="17" width="13.28515625" style="170" bestFit="1" customWidth="1"/>
    <col min="18" max="18" width="10.5703125" style="170" bestFit="1" customWidth="1"/>
    <col min="19" max="19" width="9.5703125" style="170" bestFit="1" customWidth="1"/>
    <col min="20" max="16384" width="9.140625" style="170"/>
  </cols>
  <sheetData>
    <row r="1" spans="1:17" ht="26.25" x14ac:dyDescent="0.4">
      <c r="A1" s="186" t="s">
        <v>373</v>
      </c>
    </row>
    <row r="2" spans="1:17" ht="21" x14ac:dyDescent="0.35">
      <c r="A2" s="188" t="s">
        <v>379</v>
      </c>
    </row>
    <row r="3" spans="1:17" x14ac:dyDescent="0.25">
      <c r="A3" s="170" t="s">
        <v>0</v>
      </c>
    </row>
    <row r="4" spans="1:17" x14ac:dyDescent="0.25">
      <c r="L4" s="172"/>
    </row>
    <row r="5" spans="1:17" x14ac:dyDescent="0.25">
      <c r="A5" s="189" t="s">
        <v>271</v>
      </c>
      <c r="B5" s="189"/>
      <c r="C5" s="189"/>
      <c r="D5" s="189"/>
      <c r="E5" s="189"/>
      <c r="H5" s="190" t="s">
        <v>270</v>
      </c>
      <c r="I5" s="180" t="s">
        <v>272</v>
      </c>
      <c r="J5" s="191">
        <v>0.2</v>
      </c>
    </row>
    <row r="6" spans="1:17" x14ac:dyDescent="0.25">
      <c r="A6" s="178" t="s">
        <v>270</v>
      </c>
      <c r="B6" s="192" t="s">
        <v>273</v>
      </c>
      <c r="D6" s="178" t="s">
        <v>274</v>
      </c>
      <c r="E6" s="178" t="s">
        <v>275</v>
      </c>
      <c r="F6" s="178" t="s">
        <v>67</v>
      </c>
      <c r="H6" s="193"/>
      <c r="I6" s="178" t="s">
        <v>66</v>
      </c>
      <c r="J6" s="191">
        <v>5.8000000000000003E-2</v>
      </c>
    </row>
    <row r="7" spans="1:17" x14ac:dyDescent="0.25">
      <c r="A7" s="200">
        <v>0.27300000000000002</v>
      </c>
      <c r="B7" s="200">
        <v>0.08</v>
      </c>
      <c r="D7" s="200">
        <v>0.15033333333333335</v>
      </c>
      <c r="E7" s="200">
        <v>0.11275000000000002</v>
      </c>
      <c r="F7" s="199">
        <v>0.61608333333333343</v>
      </c>
      <c r="H7" s="194"/>
      <c r="I7" s="178" t="s">
        <v>276</v>
      </c>
      <c r="J7" s="191">
        <v>1.4999999999999999E-2</v>
      </c>
    </row>
    <row r="9" spans="1:17" x14ac:dyDescent="0.25">
      <c r="A9" s="189" t="s">
        <v>292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x14ac:dyDescent="0.25">
      <c r="A10" s="180" t="s">
        <v>19</v>
      </c>
      <c r="B10" s="181" t="s">
        <v>20</v>
      </c>
      <c r="C10" s="180" t="s">
        <v>383</v>
      </c>
      <c r="D10" s="180" t="s">
        <v>289</v>
      </c>
      <c r="E10" s="180" t="s">
        <v>277</v>
      </c>
      <c r="F10" s="180" t="s">
        <v>278</v>
      </c>
      <c r="G10" s="180" t="s">
        <v>279</v>
      </c>
      <c r="H10" s="180" t="s">
        <v>280</v>
      </c>
      <c r="I10" s="180" t="s">
        <v>281</v>
      </c>
      <c r="J10" s="180" t="s">
        <v>282</v>
      </c>
      <c r="K10" s="180" t="s">
        <v>283</v>
      </c>
      <c r="L10" s="180" t="s">
        <v>284</v>
      </c>
      <c r="M10" s="180" t="s">
        <v>285</v>
      </c>
      <c r="N10" s="180" t="s">
        <v>286</v>
      </c>
      <c r="O10" s="180" t="s">
        <v>287</v>
      </c>
      <c r="P10" s="180" t="s">
        <v>288</v>
      </c>
      <c r="Q10" s="180" t="s">
        <v>67</v>
      </c>
    </row>
    <row r="11" spans="1:17" x14ac:dyDescent="0.25">
      <c r="A11" s="170" t="s">
        <v>21</v>
      </c>
      <c r="B11" s="187" t="s">
        <v>22</v>
      </c>
      <c r="C11" s="174">
        <v>2668</v>
      </c>
      <c r="D11" s="174" t="s">
        <v>290</v>
      </c>
      <c r="E11" s="174">
        <v>1992</v>
      </c>
      <c r="F11" s="174">
        <v>2213</v>
      </c>
      <c r="G11" s="174">
        <v>2213</v>
      </c>
      <c r="H11" s="174">
        <v>2213</v>
      </c>
      <c r="I11" s="174">
        <v>2213</v>
      </c>
      <c r="J11" s="174">
        <v>2213</v>
      </c>
      <c r="K11" s="174">
        <v>2213</v>
      </c>
      <c r="L11" s="174">
        <v>2213</v>
      </c>
      <c r="M11" s="174">
        <v>2668</v>
      </c>
      <c r="N11" s="174">
        <v>2668</v>
      </c>
      <c r="O11" s="174">
        <v>2668</v>
      </c>
      <c r="P11" s="174">
        <v>2668</v>
      </c>
      <c r="Q11" s="176">
        <f>SUM(E11:P11)</f>
        <v>28155</v>
      </c>
    </row>
    <row r="12" spans="1:17" x14ac:dyDescent="0.25">
      <c r="A12" s="170" t="s">
        <v>7</v>
      </c>
      <c r="B12" s="187" t="s">
        <v>24</v>
      </c>
      <c r="C12" s="174">
        <v>3289</v>
      </c>
      <c r="D12" s="174" t="s">
        <v>291</v>
      </c>
      <c r="E12" s="174">
        <v>3389</v>
      </c>
      <c r="F12" s="174">
        <v>3389</v>
      </c>
      <c r="G12" s="174">
        <v>3389</v>
      </c>
      <c r="H12" s="174">
        <v>3389</v>
      </c>
      <c r="I12" s="174">
        <v>3389</v>
      </c>
      <c r="J12" s="174">
        <v>3389</v>
      </c>
      <c r="K12" s="174">
        <v>3389</v>
      </c>
      <c r="L12" s="174">
        <v>3389</v>
      </c>
      <c r="M12" s="174">
        <v>3389</v>
      </c>
      <c r="N12" s="174">
        <v>0</v>
      </c>
      <c r="O12" s="174">
        <v>0</v>
      </c>
      <c r="P12" s="174">
        <v>0</v>
      </c>
      <c r="Q12" s="176">
        <f t="shared" ref="Q12:Q18" si="0">SUM(E12:P12)</f>
        <v>30501</v>
      </c>
    </row>
    <row r="13" spans="1:17" x14ac:dyDescent="0.25">
      <c r="A13" s="170" t="s">
        <v>25</v>
      </c>
      <c r="B13" s="187" t="s">
        <v>26</v>
      </c>
      <c r="C13" s="174">
        <v>5148</v>
      </c>
      <c r="D13" s="174" t="s">
        <v>290</v>
      </c>
      <c r="E13" s="174">
        <v>3959</v>
      </c>
      <c r="F13" s="174">
        <v>3959</v>
      </c>
      <c r="G13" s="174">
        <v>3959</v>
      </c>
      <c r="H13" s="174">
        <v>4020</v>
      </c>
      <c r="I13" s="174">
        <v>4020</v>
      </c>
      <c r="J13" s="174">
        <v>4696</v>
      </c>
      <c r="K13" s="174">
        <v>4696</v>
      </c>
      <c r="L13" s="174">
        <v>4696</v>
      </c>
      <c r="M13" s="174">
        <v>5148</v>
      </c>
      <c r="N13" s="174">
        <v>5148</v>
      </c>
      <c r="O13" s="174">
        <v>5148</v>
      </c>
      <c r="P13" s="174">
        <v>5148</v>
      </c>
      <c r="Q13" s="176">
        <f t="shared" si="0"/>
        <v>54597</v>
      </c>
    </row>
    <row r="14" spans="1:17" x14ac:dyDescent="0.25">
      <c r="A14" s="170" t="s">
        <v>13</v>
      </c>
      <c r="B14" s="187" t="s">
        <v>27</v>
      </c>
      <c r="C14" s="174">
        <v>2184</v>
      </c>
      <c r="D14" s="174" t="s">
        <v>291</v>
      </c>
      <c r="E14" s="174">
        <v>0</v>
      </c>
      <c r="F14" s="174">
        <v>0</v>
      </c>
      <c r="G14" s="174">
        <v>0</v>
      </c>
      <c r="H14" s="174">
        <v>0</v>
      </c>
      <c r="I14" s="174">
        <v>0</v>
      </c>
      <c r="J14" s="174">
        <v>1992</v>
      </c>
      <c r="K14" s="174">
        <v>1992</v>
      </c>
      <c r="L14" s="174">
        <v>1992</v>
      </c>
      <c r="M14" s="174">
        <v>2184</v>
      </c>
      <c r="N14" s="174">
        <v>2184</v>
      </c>
      <c r="O14" s="174">
        <v>2184</v>
      </c>
      <c r="P14" s="174">
        <v>2184</v>
      </c>
      <c r="Q14" s="176">
        <f t="shared" si="0"/>
        <v>14712</v>
      </c>
    </row>
    <row r="15" spans="1:17" x14ac:dyDescent="0.25">
      <c r="A15" s="170" t="s">
        <v>28</v>
      </c>
      <c r="B15" s="187" t="s">
        <v>29</v>
      </c>
      <c r="C15" s="174">
        <v>3289</v>
      </c>
      <c r="D15" s="174" t="s">
        <v>290</v>
      </c>
      <c r="E15" s="174">
        <v>3289</v>
      </c>
      <c r="F15" s="174">
        <v>3289</v>
      </c>
      <c r="G15" s="174">
        <v>3289</v>
      </c>
      <c r="H15" s="174">
        <v>3289</v>
      </c>
      <c r="I15" s="174">
        <v>0</v>
      </c>
      <c r="J15" s="174">
        <v>0</v>
      </c>
      <c r="K15" s="174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6">
        <f t="shared" si="0"/>
        <v>13156</v>
      </c>
    </row>
    <row r="16" spans="1:17" x14ac:dyDescent="0.25">
      <c r="A16" s="170" t="s">
        <v>30</v>
      </c>
      <c r="B16" s="187" t="s">
        <v>31</v>
      </c>
      <c r="C16" s="174">
        <v>3289</v>
      </c>
      <c r="D16" s="174" t="s">
        <v>291</v>
      </c>
      <c r="E16" s="174">
        <v>3289</v>
      </c>
      <c r="F16" s="174">
        <v>3289</v>
      </c>
      <c r="G16" s="174">
        <v>3289</v>
      </c>
      <c r="H16" s="174">
        <v>3289</v>
      </c>
      <c r="I16" s="174">
        <v>3289</v>
      </c>
      <c r="J16" s="174">
        <v>3289</v>
      </c>
      <c r="K16" s="174">
        <v>3289</v>
      </c>
      <c r="L16" s="174">
        <v>0</v>
      </c>
      <c r="M16" s="174">
        <v>0</v>
      </c>
      <c r="N16" s="174">
        <v>0</v>
      </c>
      <c r="O16" s="174">
        <v>0</v>
      </c>
      <c r="P16" s="174">
        <v>0</v>
      </c>
      <c r="Q16" s="176">
        <f t="shared" si="0"/>
        <v>23023</v>
      </c>
    </row>
    <row r="17" spans="1:17" x14ac:dyDescent="0.25">
      <c r="A17" s="170" t="s">
        <v>33</v>
      </c>
      <c r="B17" s="187" t="s">
        <v>34</v>
      </c>
      <c r="C17" s="174">
        <v>3805</v>
      </c>
      <c r="D17" s="174" t="s">
        <v>291</v>
      </c>
      <c r="E17" s="174">
        <v>0</v>
      </c>
      <c r="F17" s="174">
        <v>0</v>
      </c>
      <c r="G17" s="174">
        <v>0</v>
      </c>
      <c r="H17" s="174">
        <v>0</v>
      </c>
      <c r="I17" s="174">
        <v>0</v>
      </c>
      <c r="J17" s="174">
        <v>0</v>
      </c>
      <c r="K17" s="174">
        <v>3471</v>
      </c>
      <c r="L17" s="174">
        <v>3471</v>
      </c>
      <c r="M17" s="174">
        <v>3805</v>
      </c>
      <c r="N17" s="174">
        <v>3805</v>
      </c>
      <c r="O17" s="174">
        <v>3805</v>
      </c>
      <c r="P17" s="174">
        <v>3805</v>
      </c>
      <c r="Q17" s="176">
        <f t="shared" si="0"/>
        <v>22162</v>
      </c>
    </row>
    <row r="18" spans="1:17" x14ac:dyDescent="0.25">
      <c r="A18" s="170" t="s">
        <v>35</v>
      </c>
      <c r="B18" s="187" t="s">
        <v>36</v>
      </c>
      <c r="C18" s="174">
        <v>5148</v>
      </c>
      <c r="D18" s="174" t="s">
        <v>291</v>
      </c>
      <c r="E18" s="174">
        <v>0</v>
      </c>
      <c r="F18" s="174">
        <v>0</v>
      </c>
      <c r="G18" s="174">
        <v>0</v>
      </c>
      <c r="H18" s="174">
        <v>0</v>
      </c>
      <c r="I18" s="174">
        <v>0</v>
      </c>
      <c r="J18" s="174">
        <v>0</v>
      </c>
      <c r="K18" s="174">
        <v>4696</v>
      </c>
      <c r="L18" s="174">
        <v>4696</v>
      </c>
      <c r="M18" s="174">
        <v>5148</v>
      </c>
      <c r="N18" s="174">
        <v>5148</v>
      </c>
      <c r="O18" s="174">
        <v>5148</v>
      </c>
      <c r="P18" s="174">
        <v>5148</v>
      </c>
      <c r="Q18" s="176">
        <f t="shared" si="0"/>
        <v>29984</v>
      </c>
    </row>
    <row r="19" spans="1:17" x14ac:dyDescent="0.25">
      <c r="A19" s="195"/>
      <c r="B19" s="196"/>
      <c r="C19" s="195"/>
      <c r="D19" s="195"/>
      <c r="E19" s="197">
        <f t="shared" ref="E19:Q19" si="1">SUM(E11:E18)</f>
        <v>15918</v>
      </c>
      <c r="F19" s="197">
        <f t="shared" si="1"/>
        <v>16139</v>
      </c>
      <c r="G19" s="197">
        <f t="shared" si="1"/>
        <v>16139</v>
      </c>
      <c r="H19" s="197">
        <f t="shared" si="1"/>
        <v>16200</v>
      </c>
      <c r="I19" s="197">
        <f t="shared" si="1"/>
        <v>12911</v>
      </c>
      <c r="J19" s="197">
        <f t="shared" si="1"/>
        <v>15579</v>
      </c>
      <c r="K19" s="197">
        <f t="shared" si="1"/>
        <v>23746</v>
      </c>
      <c r="L19" s="197">
        <f t="shared" si="1"/>
        <v>20457</v>
      </c>
      <c r="M19" s="197">
        <f t="shared" si="1"/>
        <v>22342</v>
      </c>
      <c r="N19" s="197">
        <f t="shared" si="1"/>
        <v>18953</v>
      </c>
      <c r="O19" s="197">
        <f t="shared" si="1"/>
        <v>18953</v>
      </c>
      <c r="P19" s="197">
        <f t="shared" si="1"/>
        <v>18953</v>
      </c>
      <c r="Q19" s="197">
        <f t="shared" si="1"/>
        <v>216290</v>
      </c>
    </row>
    <row r="21" spans="1:17" x14ac:dyDescent="0.25">
      <c r="A21" s="189" t="s">
        <v>382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</row>
    <row r="22" spans="1:17" x14ac:dyDescent="0.25">
      <c r="A22" s="180" t="s">
        <v>19</v>
      </c>
      <c r="B22" s="181" t="s">
        <v>20</v>
      </c>
      <c r="C22" s="180" t="s">
        <v>383</v>
      </c>
      <c r="D22" s="180" t="s">
        <v>289</v>
      </c>
      <c r="E22" s="180" t="s">
        <v>277</v>
      </c>
      <c r="F22" s="180" t="s">
        <v>278</v>
      </c>
      <c r="G22" s="180" t="s">
        <v>279</v>
      </c>
      <c r="H22" s="180" t="s">
        <v>280</v>
      </c>
      <c r="I22" s="180" t="s">
        <v>281</v>
      </c>
      <c r="J22" s="180" t="s">
        <v>282</v>
      </c>
      <c r="K22" s="180" t="s">
        <v>283</v>
      </c>
      <c r="L22" s="180" t="s">
        <v>284</v>
      </c>
      <c r="M22" s="180" t="s">
        <v>285</v>
      </c>
      <c r="N22" s="180" t="s">
        <v>286</v>
      </c>
      <c r="O22" s="180" t="s">
        <v>287</v>
      </c>
      <c r="P22" s="180" t="s">
        <v>288</v>
      </c>
      <c r="Q22" s="180" t="s">
        <v>67</v>
      </c>
    </row>
    <row r="23" spans="1:17" x14ac:dyDescent="0.25">
      <c r="A23" s="170" t="s">
        <v>21</v>
      </c>
      <c r="B23" s="187" t="s">
        <v>22</v>
      </c>
      <c r="C23" s="174">
        <v>2668</v>
      </c>
      <c r="D23" s="174" t="s">
        <v>290</v>
      </c>
      <c r="E23" s="174">
        <f>(1+$F$7)*E11</f>
        <v>3219.2380000000003</v>
      </c>
      <c r="F23" s="174">
        <f>(1+$F$7)*F11</f>
        <v>3576.392416666667</v>
      </c>
      <c r="G23" s="174">
        <f>(1+$F$7)*G11</f>
        <v>3576.392416666667</v>
      </c>
      <c r="H23" s="174">
        <f>(1+$F$7)*H11</f>
        <v>3576.392416666667</v>
      </c>
      <c r="I23" s="174">
        <f>(1+$F$7)*I11</f>
        <v>3576.392416666667</v>
      </c>
      <c r="J23" s="174">
        <f>(1+$F$7)*J11</f>
        <v>3576.392416666667</v>
      </c>
      <c r="K23" s="174">
        <f>(1+$F$7)*K11</f>
        <v>3576.392416666667</v>
      </c>
      <c r="L23" s="174">
        <f>(1+$F$7)*L11</f>
        <v>3576.392416666667</v>
      </c>
      <c r="M23" s="174">
        <f>(1+$F$7)*M11</f>
        <v>4311.7103333333334</v>
      </c>
      <c r="N23" s="174">
        <f>(1+$F$7)*N11</f>
        <v>4311.7103333333334</v>
      </c>
      <c r="O23" s="174">
        <f>(1+$F$7)*O11</f>
        <v>4311.7103333333334</v>
      </c>
      <c r="P23" s="174">
        <f>(1+$F$7)*P11</f>
        <v>4311.7103333333334</v>
      </c>
      <c r="Q23" s="176">
        <f>SUM(E23:P23)</f>
        <v>45500.826250000006</v>
      </c>
    </row>
    <row r="24" spans="1:17" x14ac:dyDescent="0.25">
      <c r="A24" s="170" t="s">
        <v>7</v>
      </c>
      <c r="B24" s="187" t="s">
        <v>24</v>
      </c>
      <c r="C24" s="174">
        <v>3289</v>
      </c>
      <c r="D24" s="174" t="s">
        <v>291</v>
      </c>
      <c r="E24" s="174">
        <f>(1+$F$7)*E12</f>
        <v>5476.9064166666676</v>
      </c>
      <c r="F24" s="174">
        <f>(1+$F$7)*F12</f>
        <v>5476.9064166666676</v>
      </c>
      <c r="G24" s="174">
        <f>(1+$F$7)*G12</f>
        <v>5476.9064166666676</v>
      </c>
      <c r="H24" s="174">
        <f>(1+$F$7)*H12</f>
        <v>5476.9064166666676</v>
      </c>
      <c r="I24" s="174">
        <f>(1+$F$7)*I12</f>
        <v>5476.9064166666676</v>
      </c>
      <c r="J24" s="174">
        <f>(1+$F$7)*J12</f>
        <v>5476.9064166666676</v>
      </c>
      <c r="K24" s="174">
        <f>(1+$F$7)*K12</f>
        <v>5476.9064166666676</v>
      </c>
      <c r="L24" s="174">
        <f>(1+$F$7)*L12</f>
        <v>5476.9064166666676</v>
      </c>
      <c r="M24" s="174">
        <f>(1+$F$7)*M12</f>
        <v>5476.9064166666676</v>
      </c>
      <c r="N24" s="174">
        <f>(1+$F$7)*N12</f>
        <v>0</v>
      </c>
      <c r="O24" s="174">
        <f>(1+$F$7)*O12</f>
        <v>0</v>
      </c>
      <c r="P24" s="174">
        <f>(1+$F$7)*P12</f>
        <v>0</v>
      </c>
      <c r="Q24" s="176">
        <f t="shared" ref="Q24:Q30" si="2">SUM(E24:P24)</f>
        <v>49292.157749999998</v>
      </c>
    </row>
    <row r="25" spans="1:17" x14ac:dyDescent="0.25">
      <c r="A25" s="170" t="s">
        <v>25</v>
      </c>
      <c r="B25" s="187" t="s">
        <v>26</v>
      </c>
      <c r="C25" s="174">
        <v>5148</v>
      </c>
      <c r="D25" s="174" t="s">
        <v>290</v>
      </c>
      <c r="E25" s="174">
        <f>(1+$F$7)*E13</f>
        <v>6398.0739166666672</v>
      </c>
      <c r="F25" s="174">
        <f>(1+$F$7)*F13</f>
        <v>6398.0739166666672</v>
      </c>
      <c r="G25" s="174">
        <f>(1+$F$7)*G13</f>
        <v>6398.0739166666672</v>
      </c>
      <c r="H25" s="174">
        <f>(1+$F$7)*H13</f>
        <v>6496.6550000000007</v>
      </c>
      <c r="I25" s="174">
        <f>(1+$F$7)*I13</f>
        <v>6496.6550000000007</v>
      </c>
      <c r="J25" s="174">
        <f>(1+$F$7)*J13</f>
        <v>7589.1273333333347</v>
      </c>
      <c r="K25" s="174">
        <f>(1+$F$7)*K13</f>
        <v>7589.1273333333347</v>
      </c>
      <c r="L25" s="174">
        <f>(1+$F$7)*L13</f>
        <v>7589.1273333333347</v>
      </c>
      <c r="M25" s="174">
        <f>(1+$F$7)*M13</f>
        <v>8319.5970000000016</v>
      </c>
      <c r="N25" s="174">
        <f>(1+$F$7)*N13</f>
        <v>8319.5970000000016</v>
      </c>
      <c r="O25" s="174">
        <f>(1+$F$7)*O13</f>
        <v>8319.5970000000016</v>
      </c>
      <c r="P25" s="174">
        <f>(1+$F$7)*P13</f>
        <v>8319.5970000000016</v>
      </c>
      <c r="Q25" s="176">
        <f t="shared" si="2"/>
        <v>88233.301750000042</v>
      </c>
    </row>
    <row r="26" spans="1:17" x14ac:dyDescent="0.25">
      <c r="A26" s="170" t="s">
        <v>13</v>
      </c>
      <c r="B26" s="187" t="s">
        <v>27</v>
      </c>
      <c r="C26" s="174">
        <v>2184</v>
      </c>
      <c r="D26" s="174" t="s">
        <v>291</v>
      </c>
      <c r="E26" s="174">
        <f>(1+$F$7)*E14</f>
        <v>0</v>
      </c>
      <c r="F26" s="174">
        <f>(1+$F$7)*F14</f>
        <v>0</v>
      </c>
      <c r="G26" s="174">
        <f>(1+$F$7)*G14</f>
        <v>0</v>
      </c>
      <c r="H26" s="174">
        <f>(1+$F$7)*H14</f>
        <v>0</v>
      </c>
      <c r="I26" s="174">
        <f>(1+$F$7)*I14</f>
        <v>0</v>
      </c>
      <c r="J26" s="174">
        <f>(1+$F$7)*J14</f>
        <v>3219.2380000000003</v>
      </c>
      <c r="K26" s="174">
        <f>(1+$F$7)*K14</f>
        <v>3219.2380000000003</v>
      </c>
      <c r="L26" s="174">
        <f>(1+$F$7)*L14</f>
        <v>3219.2380000000003</v>
      </c>
      <c r="M26" s="174">
        <f>(1+$F$7)*M14</f>
        <v>3529.5260000000003</v>
      </c>
      <c r="N26" s="174">
        <f>(1+$F$7)*N14</f>
        <v>3529.5260000000003</v>
      </c>
      <c r="O26" s="174">
        <f>(1+$F$7)*O14</f>
        <v>3529.5260000000003</v>
      </c>
      <c r="P26" s="174">
        <f>(1+$F$7)*P14</f>
        <v>3529.5260000000003</v>
      </c>
      <c r="Q26" s="176">
        <f t="shared" si="2"/>
        <v>23775.818000000003</v>
      </c>
    </row>
    <row r="27" spans="1:17" x14ac:dyDescent="0.25">
      <c r="A27" s="170" t="s">
        <v>28</v>
      </c>
      <c r="B27" s="187" t="s">
        <v>29</v>
      </c>
      <c r="C27" s="174">
        <v>3289</v>
      </c>
      <c r="D27" s="174" t="s">
        <v>290</v>
      </c>
      <c r="E27" s="174">
        <f>(1+$F$7)*E15</f>
        <v>5315.298083333334</v>
      </c>
      <c r="F27" s="174">
        <f>(1+$F$7)*F15</f>
        <v>5315.298083333334</v>
      </c>
      <c r="G27" s="174">
        <f>(1+$F$7)*G15</f>
        <v>5315.298083333334</v>
      </c>
      <c r="H27" s="174">
        <f>(1+$F$7)*H15</f>
        <v>5315.298083333334</v>
      </c>
      <c r="I27" s="174">
        <f>(1+$F$7)*I15</f>
        <v>0</v>
      </c>
      <c r="J27" s="174">
        <f>(1+$F$7)*J15</f>
        <v>0</v>
      </c>
      <c r="K27" s="174">
        <f>(1+$F$7)*K15</f>
        <v>0</v>
      </c>
      <c r="L27" s="174">
        <f>(1+$F$7)*L15</f>
        <v>0</v>
      </c>
      <c r="M27" s="174">
        <f>(1+$F$7)*M15</f>
        <v>0</v>
      </c>
      <c r="N27" s="174">
        <f>(1+$F$7)*N15</f>
        <v>0</v>
      </c>
      <c r="O27" s="174">
        <f>(1+$F$7)*O15</f>
        <v>0</v>
      </c>
      <c r="P27" s="174">
        <f>(1+$F$7)*P15</f>
        <v>0</v>
      </c>
      <c r="Q27" s="176">
        <f t="shared" si="2"/>
        <v>21261.192333333336</v>
      </c>
    </row>
    <row r="28" spans="1:17" x14ac:dyDescent="0.25">
      <c r="A28" s="170" t="s">
        <v>30</v>
      </c>
      <c r="B28" s="187" t="s">
        <v>31</v>
      </c>
      <c r="C28" s="174">
        <v>3289</v>
      </c>
      <c r="D28" s="174" t="s">
        <v>291</v>
      </c>
      <c r="E28" s="174">
        <f>(1+$F$7)*E16</f>
        <v>5315.298083333334</v>
      </c>
      <c r="F28" s="174">
        <f>(1+$F$7)*F16</f>
        <v>5315.298083333334</v>
      </c>
      <c r="G28" s="174">
        <f>(1+$F$7)*G16</f>
        <v>5315.298083333334</v>
      </c>
      <c r="H28" s="174">
        <f>(1+$F$7)*H16</f>
        <v>5315.298083333334</v>
      </c>
      <c r="I28" s="174">
        <f>(1+$F$7)*I16</f>
        <v>5315.298083333334</v>
      </c>
      <c r="J28" s="174">
        <f>(1+$F$7)*J16</f>
        <v>5315.298083333334</v>
      </c>
      <c r="K28" s="174">
        <f>(1+$F$7)*K16</f>
        <v>5315.298083333334</v>
      </c>
      <c r="L28" s="174">
        <f>(1+$F$7)*L16</f>
        <v>0</v>
      </c>
      <c r="M28" s="174">
        <f>(1+$F$7)*M16</f>
        <v>0</v>
      </c>
      <c r="N28" s="174">
        <f>(1+$F$7)*N16</f>
        <v>0</v>
      </c>
      <c r="O28" s="174">
        <f>(1+$F$7)*O16</f>
        <v>0</v>
      </c>
      <c r="P28" s="174">
        <f>(1+$F$7)*P16</f>
        <v>0</v>
      </c>
      <c r="Q28" s="176">
        <f t="shared" si="2"/>
        <v>37207.086583333337</v>
      </c>
    </row>
    <row r="29" spans="1:17" x14ac:dyDescent="0.25">
      <c r="A29" s="170" t="s">
        <v>33</v>
      </c>
      <c r="B29" s="187" t="s">
        <v>34</v>
      </c>
      <c r="C29" s="174">
        <v>3805</v>
      </c>
      <c r="D29" s="174" t="s">
        <v>291</v>
      </c>
      <c r="E29" s="174">
        <f>(1+$F$7)*E17</f>
        <v>0</v>
      </c>
      <c r="F29" s="174">
        <f>(1+$F$7)*F17</f>
        <v>0</v>
      </c>
      <c r="G29" s="174">
        <f>(1+$F$7)*G17</f>
        <v>0</v>
      </c>
      <c r="H29" s="174">
        <f>(1+$F$7)*H17</f>
        <v>0</v>
      </c>
      <c r="I29" s="174">
        <f>(1+$F$7)*I17</f>
        <v>0</v>
      </c>
      <c r="J29" s="174">
        <f>(1+$F$7)*J17</f>
        <v>0</v>
      </c>
      <c r="K29" s="174">
        <f>(1+$F$7)*K17</f>
        <v>5609.4252500000011</v>
      </c>
      <c r="L29" s="174">
        <f>(1+$F$7)*L17</f>
        <v>5609.4252500000011</v>
      </c>
      <c r="M29" s="174">
        <f>(1+$F$7)*M17</f>
        <v>6149.1970833333344</v>
      </c>
      <c r="N29" s="174">
        <f>(1+$F$7)*N17</f>
        <v>6149.1970833333344</v>
      </c>
      <c r="O29" s="174">
        <f>(1+$F$7)*O17</f>
        <v>6149.1970833333344</v>
      </c>
      <c r="P29" s="174">
        <f>(1+$F$7)*P17</f>
        <v>6149.1970833333344</v>
      </c>
      <c r="Q29" s="176">
        <f t="shared" si="2"/>
        <v>35815.638833333338</v>
      </c>
    </row>
    <row r="30" spans="1:17" x14ac:dyDescent="0.25">
      <c r="A30" s="170" t="s">
        <v>35</v>
      </c>
      <c r="B30" s="187" t="s">
        <v>36</v>
      </c>
      <c r="C30" s="174">
        <v>5148</v>
      </c>
      <c r="D30" s="174" t="s">
        <v>291</v>
      </c>
      <c r="E30" s="174">
        <f>(1+$F$7)*E18</f>
        <v>0</v>
      </c>
      <c r="F30" s="174">
        <f>(1+$F$7)*F18</f>
        <v>0</v>
      </c>
      <c r="G30" s="174">
        <f>(1+$F$7)*G18</f>
        <v>0</v>
      </c>
      <c r="H30" s="174">
        <f>(1+$F$7)*H18</f>
        <v>0</v>
      </c>
      <c r="I30" s="174">
        <f>(1+$F$7)*I18</f>
        <v>0</v>
      </c>
      <c r="J30" s="174">
        <f>(1+$F$7)*J18</f>
        <v>0</v>
      </c>
      <c r="K30" s="174">
        <f>(1+$F$7)*K18</f>
        <v>7589.1273333333347</v>
      </c>
      <c r="L30" s="174">
        <f>(1+$F$7)*L18</f>
        <v>7589.1273333333347</v>
      </c>
      <c r="M30" s="174">
        <f>(1+$F$7)*M18</f>
        <v>8319.5970000000016</v>
      </c>
      <c r="N30" s="174">
        <f>(1+$F$7)*N18</f>
        <v>8319.5970000000016</v>
      </c>
      <c r="O30" s="174">
        <f>(1+$F$7)*O18</f>
        <v>8319.5970000000016</v>
      </c>
      <c r="P30" s="174">
        <f>(1+$F$7)*P18</f>
        <v>8319.5970000000016</v>
      </c>
      <c r="Q30" s="176">
        <f t="shared" si="2"/>
        <v>48456.642666666674</v>
      </c>
    </row>
    <row r="31" spans="1:17" x14ac:dyDescent="0.25">
      <c r="A31" s="195"/>
      <c r="B31" s="196"/>
      <c r="C31" s="195"/>
      <c r="D31" s="195"/>
      <c r="E31" s="197">
        <f t="shared" ref="E31:Q31" si="3">SUM(E23:E30)</f>
        <v>25724.814500000004</v>
      </c>
      <c r="F31" s="197">
        <f t="shared" si="3"/>
        <v>26081.968916666672</v>
      </c>
      <c r="G31" s="197">
        <f t="shared" si="3"/>
        <v>26081.968916666672</v>
      </c>
      <c r="H31" s="197">
        <f t="shared" si="3"/>
        <v>26180.550000000003</v>
      </c>
      <c r="I31" s="197">
        <f t="shared" si="3"/>
        <v>20865.251916666668</v>
      </c>
      <c r="J31" s="197">
        <f t="shared" si="3"/>
        <v>25176.962250000004</v>
      </c>
      <c r="K31" s="197">
        <f t="shared" si="3"/>
        <v>38375.514833333342</v>
      </c>
      <c r="L31" s="197">
        <f t="shared" si="3"/>
        <v>33060.216750000007</v>
      </c>
      <c r="M31" s="197">
        <f t="shared" si="3"/>
        <v>36106.533833333342</v>
      </c>
      <c r="N31" s="197">
        <f t="shared" si="3"/>
        <v>30629.62741666667</v>
      </c>
      <c r="O31" s="197">
        <f t="shared" si="3"/>
        <v>30629.62741666667</v>
      </c>
      <c r="P31" s="197">
        <f t="shared" si="3"/>
        <v>30629.62741666667</v>
      </c>
      <c r="Q31" s="197">
        <f t="shared" si="3"/>
        <v>349542.66416666668</v>
      </c>
    </row>
    <row r="33" spans="1:16" x14ac:dyDescent="0.25">
      <c r="A33" s="189" t="s">
        <v>384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</row>
    <row r="34" spans="1:16" x14ac:dyDescent="0.25">
      <c r="A34" s="180" t="s">
        <v>19</v>
      </c>
      <c r="B34" s="181" t="s">
        <v>20</v>
      </c>
      <c r="C34" s="180" t="s">
        <v>383</v>
      </c>
      <c r="D34" s="180" t="s">
        <v>289</v>
      </c>
      <c r="E34" s="198" t="s">
        <v>277</v>
      </c>
      <c r="F34" s="198" t="s">
        <v>278</v>
      </c>
      <c r="G34" s="198" t="s">
        <v>279</v>
      </c>
      <c r="H34" s="198" t="s">
        <v>280</v>
      </c>
      <c r="I34" s="198" t="s">
        <v>281</v>
      </c>
      <c r="J34" s="198" t="s">
        <v>282</v>
      </c>
      <c r="K34" s="198" t="s">
        <v>283</v>
      </c>
      <c r="L34" s="198" t="s">
        <v>284</v>
      </c>
      <c r="M34" s="198" t="s">
        <v>285</v>
      </c>
      <c r="N34" s="198" t="s">
        <v>286</v>
      </c>
      <c r="O34" s="198" t="s">
        <v>287</v>
      </c>
      <c r="P34" s="198" t="s">
        <v>288</v>
      </c>
    </row>
    <row r="35" spans="1:16" x14ac:dyDescent="0.25">
      <c r="A35" s="170" t="s">
        <v>21</v>
      </c>
      <c r="B35" s="187" t="s">
        <v>22</v>
      </c>
      <c r="C35" s="174">
        <v>2668</v>
      </c>
      <c r="D35" s="174" t="s">
        <v>290</v>
      </c>
      <c r="E35" s="174">
        <f>E23/VLOOKUP(E$34,'Dias úteis'!$D$8:$H$19,5,FALSE)</f>
        <v>18.291125000000001</v>
      </c>
      <c r="F35" s="174">
        <f>F23/VLOOKUP(F$34,'Dias úteis'!$D$8:$H$19,5,FALSE)</f>
        <v>20.320411458333336</v>
      </c>
      <c r="G35" s="174">
        <f>G23/VLOOKUP(G$34,'Dias úteis'!$D$8:$H$19,5,FALSE)</f>
        <v>17.669923007246378</v>
      </c>
      <c r="H35" s="174">
        <f>H23/VLOOKUP(H$34,'Dias úteis'!$D$8:$H$19,5,FALSE)</f>
        <v>20.320411458333336</v>
      </c>
      <c r="I35" s="174">
        <f>I23/VLOOKUP(I$34,'Dias úteis'!$D$8:$H$19,5,FALSE)</f>
        <v>18.473101325757575</v>
      </c>
      <c r="J35" s="174">
        <f>J23/VLOOKUP(J$34,'Dias úteis'!$D$8:$H$19,5,FALSE)</f>
        <v>18.473101325757575</v>
      </c>
      <c r="K35" s="174">
        <f>K23/VLOOKUP(K$34,'Dias úteis'!$D$8:$H$19,5,FALSE)</f>
        <v>19.35277281746032</v>
      </c>
      <c r="L35" s="174">
        <f>L23/VLOOKUP(L$34,'Dias úteis'!$D$8:$H$19,5,FALSE)</f>
        <v>17.669923007246378</v>
      </c>
      <c r="M35" s="174">
        <f>M23/VLOOKUP(M$34,'Dias úteis'!$D$8:$H$19,5,FALSE)</f>
        <v>24.498354166666669</v>
      </c>
      <c r="N35" s="174">
        <f>N23/VLOOKUP(N$34,'Dias úteis'!$D$8:$H$19,5,FALSE)</f>
        <v>24.498354166666669</v>
      </c>
      <c r="O35" s="174">
        <f>O23/VLOOKUP(O$34,'Dias úteis'!$D$8:$H$19,5,FALSE)</f>
        <v>23.331765873015872</v>
      </c>
      <c r="P35" s="174">
        <f>P23/VLOOKUP(P$34,'Dias úteis'!$D$8:$H$19,5,FALSE)</f>
        <v>22.271231060606059</v>
      </c>
    </row>
    <row r="36" spans="1:16" x14ac:dyDescent="0.25">
      <c r="A36" s="170" t="s">
        <v>7</v>
      </c>
      <c r="B36" s="187" t="s">
        <v>24</v>
      </c>
      <c r="C36" s="174">
        <v>3289</v>
      </c>
      <c r="D36" s="174" t="s">
        <v>291</v>
      </c>
      <c r="E36" s="174">
        <f>E24/VLOOKUP(E$34,'Dias úteis'!$D$8:$H$19,5,FALSE)</f>
        <v>31.118786458333339</v>
      </c>
      <c r="F36" s="174">
        <f>F24/VLOOKUP(F$34,'Dias úteis'!$D$8:$H$19,5,FALSE)</f>
        <v>31.118786458333339</v>
      </c>
      <c r="G36" s="174">
        <f>G24/VLOOKUP(G$34,'Dias úteis'!$D$8:$H$19,5,FALSE)</f>
        <v>27.059814311594206</v>
      </c>
      <c r="H36" s="174">
        <f>H24/VLOOKUP(H$34,'Dias úteis'!$D$8:$H$19,5,FALSE)</f>
        <v>31.118786458333339</v>
      </c>
      <c r="I36" s="174">
        <f>I24/VLOOKUP(I$34,'Dias úteis'!$D$8:$H$19,5,FALSE)</f>
        <v>28.289805871212124</v>
      </c>
      <c r="J36" s="174">
        <f>J24/VLOOKUP(J$34,'Dias úteis'!$D$8:$H$19,5,FALSE)</f>
        <v>28.289805871212124</v>
      </c>
      <c r="K36" s="174">
        <f>K24/VLOOKUP(K$34,'Dias úteis'!$D$8:$H$19,5,FALSE)</f>
        <v>29.636939484126987</v>
      </c>
      <c r="L36" s="174">
        <f>L24/VLOOKUP(L$34,'Dias úteis'!$D$8:$H$19,5,FALSE)</f>
        <v>27.059814311594206</v>
      </c>
      <c r="M36" s="174">
        <f>M24/VLOOKUP(M$34,'Dias úteis'!$D$8:$H$19,5,FALSE)</f>
        <v>31.118786458333339</v>
      </c>
      <c r="N36" s="174">
        <f>N24/VLOOKUP(N$34,'Dias úteis'!$D$8:$H$19,5,FALSE)</f>
        <v>0</v>
      </c>
      <c r="O36" s="174">
        <f>O24/VLOOKUP(O$34,'Dias úteis'!$D$8:$H$19,5,FALSE)</f>
        <v>0</v>
      </c>
      <c r="P36" s="174">
        <f>P24/VLOOKUP(P$34,'Dias úteis'!$D$8:$H$19,5,FALSE)</f>
        <v>0</v>
      </c>
    </row>
    <row r="37" spans="1:16" x14ac:dyDescent="0.25">
      <c r="A37" s="170" t="s">
        <v>25</v>
      </c>
      <c r="B37" s="187" t="s">
        <v>26</v>
      </c>
      <c r="C37" s="174">
        <v>5148</v>
      </c>
      <c r="D37" s="174" t="s">
        <v>290</v>
      </c>
      <c r="E37" s="174">
        <f>E25/VLOOKUP(E$34,'Dias úteis'!$D$8:$H$19,5,FALSE)</f>
        <v>36.352692708333336</v>
      </c>
      <c r="F37" s="174">
        <f>F25/VLOOKUP(F$34,'Dias úteis'!$D$8:$H$19,5,FALSE)</f>
        <v>36.352692708333336</v>
      </c>
      <c r="G37" s="174">
        <f>G25/VLOOKUP(G$34,'Dias úteis'!$D$8:$H$19,5,FALSE)</f>
        <v>31.611037137681162</v>
      </c>
      <c r="H37" s="174">
        <f>H25/VLOOKUP(H$34,'Dias úteis'!$D$8:$H$19,5,FALSE)</f>
        <v>36.912812500000001</v>
      </c>
      <c r="I37" s="174">
        <f>I25/VLOOKUP(I$34,'Dias úteis'!$D$8:$H$19,5,FALSE)</f>
        <v>33.557102272727271</v>
      </c>
      <c r="J37" s="174">
        <f>J25/VLOOKUP(J$34,'Dias úteis'!$D$8:$H$19,5,FALSE)</f>
        <v>39.200037878787882</v>
      </c>
      <c r="K37" s="174">
        <f>K25/VLOOKUP(K$34,'Dias úteis'!$D$8:$H$19,5,FALSE)</f>
        <v>41.066706349206356</v>
      </c>
      <c r="L37" s="174">
        <f>L25/VLOOKUP(L$34,'Dias úteis'!$D$8:$H$19,5,FALSE)</f>
        <v>37.495688405797104</v>
      </c>
      <c r="M37" s="174">
        <f>M25/VLOOKUP(M$34,'Dias úteis'!$D$8:$H$19,5,FALSE)</f>
        <v>47.270437500000007</v>
      </c>
      <c r="N37" s="174">
        <f>N25/VLOOKUP(N$34,'Dias úteis'!$D$8:$H$19,5,FALSE)</f>
        <v>47.270437500000007</v>
      </c>
      <c r="O37" s="174">
        <f>O25/VLOOKUP(O$34,'Dias úteis'!$D$8:$H$19,5,FALSE)</f>
        <v>45.019464285714292</v>
      </c>
      <c r="P37" s="174">
        <f>P25/VLOOKUP(P$34,'Dias úteis'!$D$8:$H$19,5,FALSE)</f>
        <v>42.973125000000003</v>
      </c>
    </row>
    <row r="38" spans="1:16" x14ac:dyDescent="0.25">
      <c r="A38" s="170" t="s">
        <v>13</v>
      </c>
      <c r="B38" s="187" t="s">
        <v>27</v>
      </c>
      <c r="C38" s="174">
        <v>2184</v>
      </c>
      <c r="D38" s="174" t="s">
        <v>291</v>
      </c>
      <c r="E38" s="174">
        <f>E26/VLOOKUP(E$34,'Dias úteis'!$D$8:$H$19,5,FALSE)</f>
        <v>0</v>
      </c>
      <c r="F38" s="174">
        <f>F26/VLOOKUP(F$34,'Dias úteis'!$D$8:$H$19,5,FALSE)</f>
        <v>0</v>
      </c>
      <c r="G38" s="174">
        <f>G26/VLOOKUP(G$34,'Dias úteis'!$D$8:$H$19,5,FALSE)</f>
        <v>0</v>
      </c>
      <c r="H38" s="174">
        <f>H26/VLOOKUP(H$34,'Dias úteis'!$D$8:$H$19,5,FALSE)</f>
        <v>0</v>
      </c>
      <c r="I38" s="174">
        <f>I26/VLOOKUP(I$34,'Dias úteis'!$D$8:$H$19,5,FALSE)</f>
        <v>0</v>
      </c>
      <c r="J38" s="174">
        <f>J26/VLOOKUP(J$34,'Dias úteis'!$D$8:$H$19,5,FALSE)</f>
        <v>16.628295454545455</v>
      </c>
      <c r="K38" s="174">
        <f>K26/VLOOKUP(K$34,'Dias úteis'!$D$8:$H$19,5,FALSE)</f>
        <v>17.42011904761905</v>
      </c>
      <c r="L38" s="174">
        <f>L26/VLOOKUP(L$34,'Dias úteis'!$D$8:$H$19,5,FALSE)</f>
        <v>15.905326086956523</v>
      </c>
      <c r="M38" s="174">
        <f>M26/VLOOKUP(M$34,'Dias úteis'!$D$8:$H$19,5,FALSE)</f>
        <v>20.054125000000003</v>
      </c>
      <c r="N38" s="174">
        <f>N26/VLOOKUP(N$34,'Dias úteis'!$D$8:$H$19,5,FALSE)</f>
        <v>20.054125000000003</v>
      </c>
      <c r="O38" s="174">
        <f>O26/VLOOKUP(O$34,'Dias úteis'!$D$8:$H$19,5,FALSE)</f>
        <v>19.099166666666669</v>
      </c>
      <c r="P38" s="174">
        <f>P26/VLOOKUP(P$34,'Dias úteis'!$D$8:$H$19,5,FALSE)</f>
        <v>18.231022727272727</v>
      </c>
    </row>
    <row r="39" spans="1:16" x14ac:dyDescent="0.25">
      <c r="A39" s="170" t="s">
        <v>28</v>
      </c>
      <c r="B39" s="187" t="s">
        <v>29</v>
      </c>
      <c r="C39" s="174">
        <v>3289</v>
      </c>
      <c r="D39" s="174" t="s">
        <v>290</v>
      </c>
      <c r="E39" s="174">
        <f>E27/VLOOKUP(E$34,'Dias úteis'!$D$8:$H$19,5,FALSE)</f>
        <v>30.200557291666669</v>
      </c>
      <c r="F39" s="174">
        <f>F27/VLOOKUP(F$34,'Dias úteis'!$D$8:$H$19,5,FALSE)</f>
        <v>30.200557291666669</v>
      </c>
      <c r="G39" s="174">
        <f>G27/VLOOKUP(G$34,'Dias úteis'!$D$8:$H$19,5,FALSE)</f>
        <v>26.261354166666671</v>
      </c>
      <c r="H39" s="174">
        <f>H27/VLOOKUP(H$34,'Dias úteis'!$D$8:$H$19,5,FALSE)</f>
        <v>30.200557291666669</v>
      </c>
      <c r="I39" s="174">
        <f>I27/VLOOKUP(I$34,'Dias úteis'!$D$8:$H$19,5,FALSE)</f>
        <v>0</v>
      </c>
      <c r="J39" s="174">
        <f>J27/VLOOKUP(J$34,'Dias úteis'!$D$8:$H$19,5,FALSE)</f>
        <v>0</v>
      </c>
      <c r="K39" s="174">
        <f>K27/VLOOKUP(K$34,'Dias úteis'!$D$8:$H$19,5,FALSE)</f>
        <v>0</v>
      </c>
      <c r="L39" s="174">
        <f>L27/VLOOKUP(L$34,'Dias úteis'!$D$8:$H$19,5,FALSE)</f>
        <v>0</v>
      </c>
      <c r="M39" s="174">
        <f>M27/VLOOKUP(M$34,'Dias úteis'!$D$8:$H$19,5,FALSE)</f>
        <v>0</v>
      </c>
      <c r="N39" s="174">
        <f>N27/VLOOKUP(N$34,'Dias úteis'!$D$8:$H$19,5,FALSE)</f>
        <v>0</v>
      </c>
      <c r="O39" s="174">
        <f>O27/VLOOKUP(O$34,'Dias úteis'!$D$8:$H$19,5,FALSE)</f>
        <v>0</v>
      </c>
      <c r="P39" s="174">
        <f>P27/VLOOKUP(P$34,'Dias úteis'!$D$8:$H$19,5,FALSE)</f>
        <v>0</v>
      </c>
    </row>
    <row r="40" spans="1:16" x14ac:dyDescent="0.25">
      <c r="A40" s="170" t="s">
        <v>30</v>
      </c>
      <c r="B40" s="187" t="s">
        <v>31</v>
      </c>
      <c r="C40" s="174">
        <v>3289</v>
      </c>
      <c r="D40" s="174" t="s">
        <v>291</v>
      </c>
      <c r="E40" s="174">
        <f>E28/VLOOKUP(E$34,'Dias úteis'!$D$8:$H$19,5,FALSE)</f>
        <v>30.200557291666669</v>
      </c>
      <c r="F40" s="174">
        <f>F28/VLOOKUP(F$34,'Dias úteis'!$D$8:$H$19,5,FALSE)</f>
        <v>30.200557291666669</v>
      </c>
      <c r="G40" s="174">
        <f>G28/VLOOKUP(G$34,'Dias úteis'!$D$8:$H$19,5,FALSE)</f>
        <v>26.261354166666671</v>
      </c>
      <c r="H40" s="174">
        <f>H28/VLOOKUP(H$34,'Dias úteis'!$D$8:$H$19,5,FALSE)</f>
        <v>30.200557291666669</v>
      </c>
      <c r="I40" s="174">
        <f>I28/VLOOKUP(I$34,'Dias úteis'!$D$8:$H$19,5,FALSE)</f>
        <v>27.455052083333335</v>
      </c>
      <c r="J40" s="174">
        <f>J28/VLOOKUP(J$34,'Dias úteis'!$D$8:$H$19,5,FALSE)</f>
        <v>27.455052083333335</v>
      </c>
      <c r="K40" s="174">
        <f>K28/VLOOKUP(K$34,'Dias úteis'!$D$8:$H$19,5,FALSE)</f>
        <v>28.762435515873019</v>
      </c>
      <c r="L40" s="174">
        <f>L28/VLOOKUP(L$34,'Dias úteis'!$D$8:$H$19,5,FALSE)</f>
        <v>0</v>
      </c>
      <c r="M40" s="174">
        <f>M28/VLOOKUP(M$34,'Dias úteis'!$D$8:$H$19,5,FALSE)</f>
        <v>0</v>
      </c>
      <c r="N40" s="174">
        <f>N28/VLOOKUP(N$34,'Dias úteis'!$D$8:$H$19,5,FALSE)</f>
        <v>0</v>
      </c>
      <c r="O40" s="174">
        <f>O28/VLOOKUP(O$34,'Dias úteis'!$D$8:$H$19,5,FALSE)</f>
        <v>0</v>
      </c>
      <c r="P40" s="174">
        <f>P28/VLOOKUP(P$34,'Dias úteis'!$D$8:$H$19,5,FALSE)</f>
        <v>0</v>
      </c>
    </row>
    <row r="41" spans="1:16" x14ac:dyDescent="0.25">
      <c r="A41" s="170" t="s">
        <v>33</v>
      </c>
      <c r="B41" s="187" t="s">
        <v>34</v>
      </c>
      <c r="C41" s="174">
        <v>3805</v>
      </c>
      <c r="D41" s="174" t="s">
        <v>291</v>
      </c>
      <c r="E41" s="174">
        <f>E29/VLOOKUP(E$34,'Dias úteis'!$D$8:$H$19,5,FALSE)</f>
        <v>0</v>
      </c>
      <c r="F41" s="174">
        <f>F29/VLOOKUP(F$34,'Dias úteis'!$D$8:$H$19,5,FALSE)</f>
        <v>0</v>
      </c>
      <c r="G41" s="174">
        <f>G29/VLOOKUP(G$34,'Dias úteis'!$D$8:$H$19,5,FALSE)</f>
        <v>0</v>
      </c>
      <c r="H41" s="174">
        <f>H29/VLOOKUP(H$34,'Dias úteis'!$D$8:$H$19,5,FALSE)</f>
        <v>0</v>
      </c>
      <c r="I41" s="174">
        <f>I29/VLOOKUP(I$34,'Dias úteis'!$D$8:$H$19,5,FALSE)</f>
        <v>0</v>
      </c>
      <c r="J41" s="174">
        <f>J29/VLOOKUP(J$34,'Dias úteis'!$D$8:$H$19,5,FALSE)</f>
        <v>0</v>
      </c>
      <c r="K41" s="174">
        <f>K29/VLOOKUP(K$34,'Dias úteis'!$D$8:$H$19,5,FALSE)</f>
        <v>30.354032738095242</v>
      </c>
      <c r="L41" s="174">
        <f>L29/VLOOKUP(L$34,'Dias úteis'!$D$8:$H$19,5,FALSE)</f>
        <v>27.714551630434787</v>
      </c>
      <c r="M41" s="174">
        <f>M29/VLOOKUP(M$34,'Dias úteis'!$D$8:$H$19,5,FALSE)</f>
        <v>34.938619791666675</v>
      </c>
      <c r="N41" s="174">
        <f>N29/VLOOKUP(N$34,'Dias úteis'!$D$8:$H$19,5,FALSE)</f>
        <v>34.938619791666675</v>
      </c>
      <c r="O41" s="174">
        <f>O29/VLOOKUP(O$34,'Dias úteis'!$D$8:$H$19,5,FALSE)</f>
        <v>33.274875992063492</v>
      </c>
      <c r="P41" s="174">
        <f>P29/VLOOKUP(P$34,'Dias úteis'!$D$8:$H$19,5,FALSE)</f>
        <v>31.762381628787882</v>
      </c>
    </row>
    <row r="42" spans="1:16" x14ac:dyDescent="0.25">
      <c r="A42" s="170" t="s">
        <v>35</v>
      </c>
      <c r="B42" s="187" t="s">
        <v>36</v>
      </c>
      <c r="C42" s="174">
        <v>5148</v>
      </c>
      <c r="D42" s="174" t="s">
        <v>291</v>
      </c>
      <c r="E42" s="174">
        <f>E30/VLOOKUP(E$34,'Dias úteis'!$D$8:$H$19,5,FALSE)</f>
        <v>0</v>
      </c>
      <c r="F42" s="174">
        <f>F30/VLOOKUP(F$34,'Dias úteis'!$D$8:$H$19,5,FALSE)</f>
        <v>0</v>
      </c>
      <c r="G42" s="174">
        <f>G30/VLOOKUP(G$34,'Dias úteis'!$D$8:$H$19,5,FALSE)</f>
        <v>0</v>
      </c>
      <c r="H42" s="174">
        <f>H30/VLOOKUP(H$34,'Dias úteis'!$D$8:$H$19,5,FALSE)</f>
        <v>0</v>
      </c>
      <c r="I42" s="174">
        <f>I30/VLOOKUP(I$34,'Dias úteis'!$D$8:$H$19,5,FALSE)</f>
        <v>0</v>
      </c>
      <c r="J42" s="174">
        <f>J30/VLOOKUP(J$34,'Dias úteis'!$D$8:$H$19,5,FALSE)</f>
        <v>0</v>
      </c>
      <c r="K42" s="174">
        <f>K30/VLOOKUP(K$34,'Dias úteis'!$D$8:$H$19,5,FALSE)</f>
        <v>41.066706349206356</v>
      </c>
      <c r="L42" s="174">
        <f>L30/VLOOKUP(L$34,'Dias úteis'!$D$8:$H$19,5,FALSE)</f>
        <v>37.495688405797104</v>
      </c>
      <c r="M42" s="174">
        <f>M30/VLOOKUP(M$34,'Dias úteis'!$D$8:$H$19,5,FALSE)</f>
        <v>47.270437500000007</v>
      </c>
      <c r="N42" s="174">
        <f>N30/VLOOKUP(N$34,'Dias úteis'!$D$8:$H$19,5,FALSE)</f>
        <v>47.270437500000007</v>
      </c>
      <c r="O42" s="174">
        <f>O30/VLOOKUP(O$34,'Dias úteis'!$D$8:$H$19,5,FALSE)</f>
        <v>45.019464285714292</v>
      </c>
      <c r="P42" s="174">
        <f>P30/VLOOKUP(P$34,'Dias úteis'!$D$8:$H$19,5,FALSE)</f>
        <v>42.973125000000003</v>
      </c>
    </row>
  </sheetData>
  <mergeCells count="5">
    <mergeCell ref="A21:Q21"/>
    <mergeCell ref="A33:P33"/>
    <mergeCell ref="A5:E5"/>
    <mergeCell ref="H5:H7"/>
    <mergeCell ref="A9:Q9"/>
  </mergeCells>
  <pageMargins left="0.51181102362204722" right="0.51181102362204722" top="0.78740157480314965" bottom="0.78740157480314965" header="0.31496062992125984" footer="0.31496062992125984"/>
  <pageSetup paperSize="9" scale="7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H20"/>
  <sheetViews>
    <sheetView workbookViewId="0">
      <selection activeCell="B8" sqref="B8"/>
    </sheetView>
  </sheetViews>
  <sheetFormatPr defaultRowHeight="15" x14ac:dyDescent="0.25"/>
  <cols>
    <col min="1" max="1" width="10.7109375" style="170" bestFit="1" customWidth="1"/>
    <col min="2" max="2" width="20" style="170" bestFit="1" customWidth="1"/>
    <col min="3" max="4" width="9.140625" style="170"/>
    <col min="5" max="6" width="10.7109375" style="170" bestFit="1" customWidth="1"/>
    <col min="7" max="7" width="9.5703125" style="170" bestFit="1" customWidth="1"/>
    <col min="8" max="8" width="10.85546875" style="170" bestFit="1" customWidth="1"/>
    <col min="9" max="10" width="9.140625" style="170" customWidth="1"/>
    <col min="11" max="16384" width="9.140625" style="170"/>
  </cols>
  <sheetData>
    <row r="1" spans="1:8" ht="26.25" x14ac:dyDescent="0.4">
      <c r="A1" s="186" t="s">
        <v>373</v>
      </c>
    </row>
    <row r="2" spans="1:8" ht="21" x14ac:dyDescent="0.35">
      <c r="A2" s="188" t="s">
        <v>380</v>
      </c>
    </row>
    <row r="3" spans="1:8" x14ac:dyDescent="0.25">
      <c r="A3" s="170" t="s">
        <v>0</v>
      </c>
    </row>
    <row r="6" spans="1:8" x14ac:dyDescent="0.25">
      <c r="A6" s="201" t="s">
        <v>62</v>
      </c>
      <c r="B6" s="201"/>
      <c r="E6" s="202" t="s">
        <v>294</v>
      </c>
      <c r="F6" s="202"/>
      <c r="G6" s="202"/>
      <c r="H6" s="202"/>
    </row>
    <row r="7" spans="1:8" x14ac:dyDescent="0.25">
      <c r="A7" s="180" t="s">
        <v>2</v>
      </c>
      <c r="B7" s="180" t="s">
        <v>47</v>
      </c>
      <c r="E7" s="180" t="s">
        <v>48</v>
      </c>
      <c r="F7" s="180" t="s">
        <v>49</v>
      </c>
      <c r="G7" s="180" t="s">
        <v>50</v>
      </c>
      <c r="H7" s="180" t="s">
        <v>293</v>
      </c>
    </row>
    <row r="8" spans="1:8" x14ac:dyDescent="0.25">
      <c r="A8" s="203">
        <v>42370</v>
      </c>
      <c r="B8" s="170" t="s">
        <v>51</v>
      </c>
      <c r="D8" s="204" t="s">
        <v>277</v>
      </c>
      <c r="E8" s="171">
        <v>42370</v>
      </c>
      <c r="F8" s="171">
        <v>42400</v>
      </c>
      <c r="G8" s="169">
        <f>NETWORKDAYS(E8,F8,$A$8:$A$19)</f>
        <v>20</v>
      </c>
      <c r="H8" s="205">
        <f>44/5*G8</f>
        <v>176</v>
      </c>
    </row>
    <row r="9" spans="1:8" x14ac:dyDescent="0.25">
      <c r="A9" s="203">
        <v>42463</v>
      </c>
      <c r="B9" s="170" t="s">
        <v>52</v>
      </c>
      <c r="D9" s="204" t="s">
        <v>278</v>
      </c>
      <c r="E9" s="171">
        <v>42401</v>
      </c>
      <c r="F9" s="171">
        <v>42428</v>
      </c>
      <c r="G9" s="169">
        <f t="shared" ref="G9:G19" si="0">NETWORKDAYS(E9,F9,$A$8:$A$19)</f>
        <v>20</v>
      </c>
      <c r="H9" s="205">
        <f t="shared" ref="H9:H19" si="1">44/5*G9</f>
        <v>176</v>
      </c>
    </row>
    <row r="10" spans="1:8" x14ac:dyDescent="0.25">
      <c r="A10" s="203">
        <v>42481</v>
      </c>
      <c r="B10" s="170" t="s">
        <v>53</v>
      </c>
      <c r="D10" s="204" t="s">
        <v>279</v>
      </c>
      <c r="E10" s="171">
        <v>42430</v>
      </c>
      <c r="F10" s="171">
        <v>42460</v>
      </c>
      <c r="G10" s="169">
        <f t="shared" si="0"/>
        <v>23</v>
      </c>
      <c r="H10" s="205">
        <f t="shared" si="1"/>
        <v>202.4</v>
      </c>
    </row>
    <row r="11" spans="1:8" x14ac:dyDescent="0.25">
      <c r="A11" s="203">
        <v>42491</v>
      </c>
      <c r="B11" s="170" t="s">
        <v>54</v>
      </c>
      <c r="D11" s="204" t="s">
        <v>280</v>
      </c>
      <c r="E11" s="171">
        <v>42461</v>
      </c>
      <c r="F11" s="171">
        <v>42490</v>
      </c>
      <c r="G11" s="169">
        <f t="shared" si="0"/>
        <v>20</v>
      </c>
      <c r="H11" s="205">
        <f t="shared" si="1"/>
        <v>176</v>
      </c>
    </row>
    <row r="12" spans="1:8" x14ac:dyDescent="0.25">
      <c r="A12" s="203">
        <v>42525</v>
      </c>
      <c r="B12" s="170" t="s">
        <v>55</v>
      </c>
      <c r="D12" s="204" t="s">
        <v>281</v>
      </c>
      <c r="E12" s="171">
        <v>42491</v>
      </c>
      <c r="F12" s="171">
        <v>42521</v>
      </c>
      <c r="G12" s="169">
        <f t="shared" si="0"/>
        <v>22</v>
      </c>
      <c r="H12" s="205">
        <f t="shared" si="1"/>
        <v>193.60000000000002</v>
      </c>
    </row>
    <row r="13" spans="1:8" x14ac:dyDescent="0.25">
      <c r="A13" s="203">
        <v>42620</v>
      </c>
      <c r="B13" s="170" t="s">
        <v>56</v>
      </c>
      <c r="D13" s="204" t="s">
        <v>282</v>
      </c>
      <c r="E13" s="171">
        <v>42522</v>
      </c>
      <c r="F13" s="171">
        <v>42551</v>
      </c>
      <c r="G13" s="169">
        <f t="shared" si="0"/>
        <v>22</v>
      </c>
      <c r="H13" s="205">
        <f t="shared" si="1"/>
        <v>193.60000000000002</v>
      </c>
    </row>
    <row r="14" spans="1:8" x14ac:dyDescent="0.25">
      <c r="A14" s="203">
        <v>42621</v>
      </c>
      <c r="B14" s="170" t="s">
        <v>57</v>
      </c>
      <c r="D14" s="204" t="s">
        <v>283</v>
      </c>
      <c r="E14" s="171">
        <v>42552</v>
      </c>
      <c r="F14" s="171">
        <v>42582</v>
      </c>
      <c r="G14" s="169">
        <f t="shared" si="0"/>
        <v>21</v>
      </c>
      <c r="H14" s="205">
        <f t="shared" si="1"/>
        <v>184.8</v>
      </c>
    </row>
    <row r="15" spans="1:8" x14ac:dyDescent="0.25">
      <c r="A15" s="203">
        <v>42655</v>
      </c>
      <c r="B15" s="170" t="s">
        <v>58</v>
      </c>
      <c r="D15" s="204" t="s">
        <v>284</v>
      </c>
      <c r="E15" s="171">
        <v>42583</v>
      </c>
      <c r="F15" s="171">
        <v>42613</v>
      </c>
      <c r="G15" s="169">
        <f t="shared" si="0"/>
        <v>23</v>
      </c>
      <c r="H15" s="205">
        <f t="shared" si="1"/>
        <v>202.4</v>
      </c>
    </row>
    <row r="16" spans="1:8" x14ac:dyDescent="0.25">
      <c r="A16" s="203">
        <v>42676</v>
      </c>
      <c r="B16" s="170" t="s">
        <v>59</v>
      </c>
      <c r="D16" s="204" t="s">
        <v>285</v>
      </c>
      <c r="E16" s="171">
        <v>42614</v>
      </c>
      <c r="F16" s="171">
        <v>42643</v>
      </c>
      <c r="G16" s="169">
        <f t="shared" si="0"/>
        <v>20</v>
      </c>
      <c r="H16" s="205">
        <f t="shared" si="1"/>
        <v>176</v>
      </c>
    </row>
    <row r="17" spans="1:8" x14ac:dyDescent="0.25">
      <c r="A17" s="203">
        <v>42728</v>
      </c>
      <c r="B17" s="170" t="s">
        <v>60</v>
      </c>
      <c r="D17" s="204" t="s">
        <v>286</v>
      </c>
      <c r="E17" s="171">
        <v>42644</v>
      </c>
      <c r="F17" s="171">
        <v>42674</v>
      </c>
      <c r="G17" s="169">
        <f t="shared" si="0"/>
        <v>20</v>
      </c>
      <c r="H17" s="205">
        <f t="shared" si="1"/>
        <v>176</v>
      </c>
    </row>
    <row r="18" spans="1:8" x14ac:dyDescent="0.25">
      <c r="A18" s="203">
        <v>42729</v>
      </c>
      <c r="B18" s="170" t="s">
        <v>60</v>
      </c>
      <c r="D18" s="204" t="s">
        <v>287</v>
      </c>
      <c r="E18" s="171">
        <v>42675</v>
      </c>
      <c r="F18" s="171">
        <v>42704</v>
      </c>
      <c r="G18" s="169">
        <f t="shared" si="0"/>
        <v>21</v>
      </c>
      <c r="H18" s="205">
        <f t="shared" si="1"/>
        <v>184.8</v>
      </c>
    </row>
    <row r="19" spans="1:8" x14ac:dyDescent="0.25">
      <c r="A19" s="203">
        <v>42735</v>
      </c>
      <c r="B19" s="170" t="s">
        <v>61</v>
      </c>
      <c r="D19" s="204" t="s">
        <v>288</v>
      </c>
      <c r="E19" s="206">
        <v>42705</v>
      </c>
      <c r="F19" s="206">
        <v>42735</v>
      </c>
      <c r="G19" s="178">
        <f t="shared" si="0"/>
        <v>22</v>
      </c>
      <c r="H19" s="205">
        <f t="shared" si="1"/>
        <v>193.60000000000002</v>
      </c>
    </row>
    <row r="20" spans="1:8" x14ac:dyDescent="0.25">
      <c r="G20" s="169">
        <f>SUM(G8:G19)</f>
        <v>254</v>
      </c>
      <c r="H20" s="207">
        <f>SUM(H8:H19)</f>
        <v>2235.1999999999998</v>
      </c>
    </row>
  </sheetData>
  <mergeCells count="2">
    <mergeCell ref="A6:B6"/>
    <mergeCell ref="E6:H6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 x14ac:dyDescent="0.25"/>
  <cols>
    <col min="2" max="9" width="10.7109375" bestFit="1" customWidth="1"/>
    <col min="10" max="11" width="11.7109375" bestFit="1" customWidth="1"/>
  </cols>
  <sheetData>
    <row r="1" spans="1:11" ht="30" x14ac:dyDescent="0.25">
      <c r="A1" s="36" t="s">
        <v>297</v>
      </c>
      <c r="B1" s="36" t="s">
        <v>298</v>
      </c>
      <c r="C1" s="36" t="s">
        <v>299</v>
      </c>
      <c r="D1" s="36" t="s">
        <v>300</v>
      </c>
      <c r="E1" s="36" t="s">
        <v>301</v>
      </c>
      <c r="F1" s="36" t="s">
        <v>304</v>
      </c>
      <c r="G1" s="36" t="s">
        <v>305</v>
      </c>
      <c r="H1" s="36" t="s">
        <v>306</v>
      </c>
      <c r="I1" s="36" t="s">
        <v>307</v>
      </c>
      <c r="J1" s="36" t="s">
        <v>308</v>
      </c>
      <c r="K1" s="36" t="s">
        <v>309</v>
      </c>
    </row>
    <row r="2" spans="1:11" x14ac:dyDescent="0.25">
      <c r="A2" s="37">
        <v>42370</v>
      </c>
      <c r="B2" s="38">
        <v>1992</v>
      </c>
      <c r="C2" s="38">
        <v>3389</v>
      </c>
      <c r="D2" s="38">
        <v>3959</v>
      </c>
      <c r="E2" s="36" t="s">
        <v>302</v>
      </c>
      <c r="F2" s="38">
        <v>3289</v>
      </c>
      <c r="G2" s="38">
        <v>3289</v>
      </c>
      <c r="H2" s="36" t="s">
        <v>303</v>
      </c>
      <c r="I2" s="36" t="s">
        <v>303</v>
      </c>
      <c r="J2" s="38">
        <v>34520.71</v>
      </c>
      <c r="K2" s="38">
        <v>13766</v>
      </c>
    </row>
    <row r="3" spans="1:11" x14ac:dyDescent="0.25">
      <c r="A3" s="37">
        <v>42401</v>
      </c>
      <c r="B3" s="38">
        <v>2213</v>
      </c>
      <c r="C3" s="38">
        <v>3389</v>
      </c>
      <c r="D3" s="38">
        <v>3959</v>
      </c>
      <c r="E3" s="36" t="s">
        <v>302</v>
      </c>
      <c r="F3" s="38">
        <v>3289</v>
      </c>
      <c r="G3" s="38">
        <v>3289</v>
      </c>
      <c r="H3" s="36" t="s">
        <v>303</v>
      </c>
      <c r="I3" s="36" t="s">
        <v>303</v>
      </c>
      <c r="J3" s="38">
        <v>34520.71</v>
      </c>
      <c r="K3" s="38">
        <v>13766</v>
      </c>
    </row>
    <row r="4" spans="1:11" x14ac:dyDescent="0.25">
      <c r="A4" s="37">
        <v>42430</v>
      </c>
      <c r="B4" s="38">
        <v>2213</v>
      </c>
      <c r="C4" s="38">
        <v>3389</v>
      </c>
      <c r="D4" s="38">
        <v>3959</v>
      </c>
      <c r="E4" s="36" t="s">
        <v>302</v>
      </c>
      <c r="F4" s="38">
        <v>3289</v>
      </c>
      <c r="G4" s="38">
        <v>3289</v>
      </c>
      <c r="H4" s="36" t="s">
        <v>303</v>
      </c>
      <c r="I4" s="36" t="s">
        <v>303</v>
      </c>
      <c r="J4" s="38">
        <v>28557</v>
      </c>
      <c r="K4" s="38">
        <v>11960.11</v>
      </c>
    </row>
    <row r="5" spans="1:11" x14ac:dyDescent="0.25">
      <c r="A5" s="37">
        <v>42461</v>
      </c>
      <c r="B5" s="38">
        <v>2213</v>
      </c>
      <c r="C5" s="38">
        <v>3389</v>
      </c>
      <c r="D5" s="38">
        <v>4020</v>
      </c>
      <c r="E5" s="36" t="s">
        <v>302</v>
      </c>
      <c r="F5" s="38">
        <v>3289</v>
      </c>
      <c r="G5" s="38">
        <v>3289</v>
      </c>
      <c r="H5" s="36" t="s">
        <v>303</v>
      </c>
      <c r="I5" s="36" t="s">
        <v>303</v>
      </c>
      <c r="J5" s="38">
        <v>28557</v>
      </c>
      <c r="K5" s="38">
        <v>11960.11</v>
      </c>
    </row>
    <row r="6" spans="1:11" x14ac:dyDescent="0.25">
      <c r="A6" s="37">
        <v>42491</v>
      </c>
      <c r="B6" s="38">
        <v>2213</v>
      </c>
      <c r="C6" s="38">
        <v>3389</v>
      </c>
      <c r="D6" s="38">
        <v>4020</v>
      </c>
      <c r="E6" s="36" t="s">
        <v>302</v>
      </c>
      <c r="F6" s="36" t="s">
        <v>303</v>
      </c>
      <c r="G6" s="38">
        <v>3289</v>
      </c>
      <c r="H6" s="36" t="s">
        <v>303</v>
      </c>
      <c r="I6" s="36" t="s">
        <v>303</v>
      </c>
      <c r="J6" s="38">
        <v>28557</v>
      </c>
      <c r="K6" s="38">
        <v>11960.11</v>
      </c>
    </row>
    <row r="7" spans="1:11" x14ac:dyDescent="0.25">
      <c r="A7" s="37">
        <v>42522</v>
      </c>
      <c r="B7" s="38">
        <v>2213</v>
      </c>
      <c r="C7" s="38">
        <v>3389</v>
      </c>
      <c r="D7" s="38">
        <v>4696</v>
      </c>
      <c r="E7" s="38">
        <v>1992</v>
      </c>
      <c r="F7" s="36" t="s">
        <v>303</v>
      </c>
      <c r="G7" s="38">
        <v>3289</v>
      </c>
      <c r="H7" s="36" t="s">
        <v>303</v>
      </c>
      <c r="I7" s="36" t="s">
        <v>303</v>
      </c>
      <c r="J7" s="38">
        <v>28557</v>
      </c>
      <c r="K7" s="38">
        <v>11960.11</v>
      </c>
    </row>
    <row r="8" spans="1:11" x14ac:dyDescent="0.25">
      <c r="A8" s="37">
        <v>42552</v>
      </c>
      <c r="B8" s="38">
        <v>2213</v>
      </c>
      <c r="C8" s="38">
        <v>3389</v>
      </c>
      <c r="D8" s="38">
        <v>4696</v>
      </c>
      <c r="E8" s="38">
        <v>1992</v>
      </c>
      <c r="F8" s="36" t="s">
        <v>303</v>
      </c>
      <c r="G8" s="38">
        <v>3289</v>
      </c>
      <c r="H8" s="38">
        <v>3471</v>
      </c>
      <c r="I8" s="38">
        <v>4696</v>
      </c>
      <c r="J8" s="38">
        <v>28557</v>
      </c>
      <c r="K8" s="38">
        <v>11960.11</v>
      </c>
    </row>
    <row r="9" spans="1:11" x14ac:dyDescent="0.25">
      <c r="A9" s="37">
        <v>42583</v>
      </c>
      <c r="B9" s="38">
        <v>2213</v>
      </c>
      <c r="C9" s="38">
        <v>3389</v>
      </c>
      <c r="D9" s="38">
        <v>4696</v>
      </c>
      <c r="E9" s="38">
        <v>1992</v>
      </c>
      <c r="F9" s="36" t="s">
        <v>303</v>
      </c>
      <c r="G9" s="36" t="s">
        <v>303</v>
      </c>
      <c r="H9" s="38">
        <v>3471</v>
      </c>
      <c r="I9" s="38">
        <v>4696</v>
      </c>
      <c r="J9" s="38">
        <v>28557</v>
      </c>
      <c r="K9" s="38">
        <v>11960.11</v>
      </c>
    </row>
    <row r="10" spans="1:11" x14ac:dyDescent="0.25">
      <c r="A10" s="37">
        <v>42614</v>
      </c>
      <c r="B10" s="38">
        <v>2668</v>
      </c>
      <c r="C10" s="38">
        <v>3389</v>
      </c>
      <c r="D10" s="38">
        <v>5148</v>
      </c>
      <c r="E10" s="38">
        <v>2184</v>
      </c>
      <c r="F10" s="36" t="s">
        <v>303</v>
      </c>
      <c r="G10" s="36" t="s">
        <v>303</v>
      </c>
      <c r="H10" s="38">
        <v>3805</v>
      </c>
      <c r="I10" s="38">
        <v>5148</v>
      </c>
      <c r="J10" s="38">
        <v>28557</v>
      </c>
      <c r="K10" s="38">
        <v>11960.11</v>
      </c>
    </row>
    <row r="11" spans="1:11" x14ac:dyDescent="0.25">
      <c r="A11" s="37">
        <v>42644</v>
      </c>
      <c r="B11" s="38">
        <v>2668</v>
      </c>
      <c r="C11" s="36" t="s">
        <v>303</v>
      </c>
      <c r="D11" s="38">
        <v>5148</v>
      </c>
      <c r="E11" s="38">
        <v>2184</v>
      </c>
      <c r="F11" s="36" t="s">
        <v>303</v>
      </c>
      <c r="G11" s="36" t="s">
        <v>303</v>
      </c>
      <c r="H11" s="38">
        <v>3805</v>
      </c>
      <c r="I11" s="38">
        <v>5148</v>
      </c>
      <c r="J11" s="38">
        <v>28557</v>
      </c>
      <c r="K11" s="38">
        <v>11960.11</v>
      </c>
    </row>
    <row r="12" spans="1:11" x14ac:dyDescent="0.25">
      <c r="A12" s="37">
        <v>42675</v>
      </c>
      <c r="B12" s="38">
        <v>2668</v>
      </c>
      <c r="C12" s="36" t="s">
        <v>303</v>
      </c>
      <c r="D12" s="38">
        <v>5148</v>
      </c>
      <c r="E12" s="38">
        <v>2184</v>
      </c>
      <c r="F12" s="36" t="s">
        <v>303</v>
      </c>
      <c r="G12" s="36" t="s">
        <v>303</v>
      </c>
      <c r="H12" s="38">
        <v>3805</v>
      </c>
      <c r="I12" s="38">
        <v>5148</v>
      </c>
      <c r="J12" s="38">
        <v>28557</v>
      </c>
      <c r="K12" s="38">
        <v>11960.11</v>
      </c>
    </row>
    <row r="13" spans="1:11" x14ac:dyDescent="0.25">
      <c r="A13" s="37">
        <v>42705</v>
      </c>
      <c r="B13" s="38">
        <v>2668</v>
      </c>
      <c r="C13" s="36" t="s">
        <v>303</v>
      </c>
      <c r="D13" s="38">
        <v>5148</v>
      </c>
      <c r="E13" s="38">
        <v>2184</v>
      </c>
      <c r="F13" s="36" t="s">
        <v>303</v>
      </c>
      <c r="G13" s="36" t="s">
        <v>303</v>
      </c>
      <c r="H13" s="38">
        <v>3805</v>
      </c>
      <c r="I13" s="38">
        <v>5148</v>
      </c>
      <c r="J13" s="38">
        <v>28557</v>
      </c>
      <c r="K13" s="38">
        <v>11960.11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2.75" x14ac:dyDescent="0.2"/>
  <cols>
    <col min="1" max="1" width="16.42578125" style="93" customWidth="1"/>
    <col min="2" max="2" width="13.5703125" style="93" customWidth="1"/>
    <col min="3" max="3" width="10" style="93" customWidth="1"/>
    <col min="4" max="4" width="16.7109375" style="93" customWidth="1"/>
    <col min="5" max="5" width="58.85546875" style="93" bestFit="1" customWidth="1"/>
    <col min="6" max="16384" width="9.140625" style="93"/>
  </cols>
  <sheetData>
    <row r="1" spans="1:5" s="92" customFormat="1" ht="15" x14ac:dyDescent="0.25">
      <c r="A1" s="91" t="s">
        <v>19</v>
      </c>
      <c r="B1" s="91" t="s">
        <v>20</v>
      </c>
      <c r="C1" s="91" t="s">
        <v>289</v>
      </c>
      <c r="D1" s="91" t="s">
        <v>332</v>
      </c>
      <c r="E1" s="91" t="s">
        <v>343</v>
      </c>
    </row>
    <row r="2" spans="1:5" x14ac:dyDescent="0.2">
      <c r="A2" s="93" t="s">
        <v>21</v>
      </c>
      <c r="B2" s="107" t="s">
        <v>22</v>
      </c>
      <c r="C2" s="108" t="s">
        <v>290</v>
      </c>
      <c r="D2" s="109" t="s">
        <v>333</v>
      </c>
      <c r="E2" s="93" t="s">
        <v>334</v>
      </c>
    </row>
    <row r="3" spans="1:5" x14ac:dyDescent="0.2">
      <c r="A3" s="93" t="s">
        <v>7</v>
      </c>
      <c r="B3" s="107" t="s">
        <v>24</v>
      </c>
      <c r="C3" s="108" t="s">
        <v>291</v>
      </c>
      <c r="D3" s="109" t="s">
        <v>333</v>
      </c>
      <c r="E3" s="93" t="s">
        <v>335</v>
      </c>
    </row>
    <row r="4" spans="1:5" x14ac:dyDescent="0.2">
      <c r="A4" s="93" t="s">
        <v>25</v>
      </c>
      <c r="B4" s="107" t="s">
        <v>26</v>
      </c>
      <c r="C4" s="108" t="s">
        <v>290</v>
      </c>
      <c r="D4" s="109" t="s">
        <v>333</v>
      </c>
      <c r="E4" s="93" t="s">
        <v>336</v>
      </c>
    </row>
    <row r="5" spans="1:5" x14ac:dyDescent="0.2">
      <c r="A5" s="93" t="s">
        <v>13</v>
      </c>
      <c r="B5" s="107" t="s">
        <v>27</v>
      </c>
      <c r="C5" s="108" t="s">
        <v>291</v>
      </c>
      <c r="D5" s="109" t="s">
        <v>337</v>
      </c>
      <c r="E5" s="93" t="s">
        <v>338</v>
      </c>
    </row>
    <row r="6" spans="1:5" x14ac:dyDescent="0.2">
      <c r="A6" s="93" t="s">
        <v>28</v>
      </c>
      <c r="B6" s="107" t="s">
        <v>29</v>
      </c>
      <c r="C6" s="108" t="s">
        <v>290</v>
      </c>
      <c r="D6" s="110" t="s">
        <v>356</v>
      </c>
      <c r="E6" s="93" t="s">
        <v>336</v>
      </c>
    </row>
    <row r="7" spans="1:5" x14ac:dyDescent="0.2">
      <c r="A7" s="93" t="s">
        <v>30</v>
      </c>
      <c r="B7" s="107" t="s">
        <v>31</v>
      </c>
      <c r="C7" s="108" t="s">
        <v>291</v>
      </c>
      <c r="D7" s="109" t="s">
        <v>339</v>
      </c>
      <c r="E7" s="93" t="s">
        <v>340</v>
      </c>
    </row>
    <row r="8" spans="1:5" x14ac:dyDescent="0.2">
      <c r="A8" s="93" t="s">
        <v>33</v>
      </c>
      <c r="B8" s="107" t="s">
        <v>34</v>
      </c>
      <c r="C8" s="108" t="s">
        <v>291</v>
      </c>
      <c r="D8" s="109" t="s">
        <v>339</v>
      </c>
      <c r="E8" s="93" t="s">
        <v>341</v>
      </c>
    </row>
    <row r="9" spans="1:5" x14ac:dyDescent="0.2">
      <c r="A9" s="93" t="s">
        <v>35</v>
      </c>
      <c r="B9" s="107" t="s">
        <v>36</v>
      </c>
      <c r="C9" s="108" t="s">
        <v>291</v>
      </c>
      <c r="D9" s="109" t="s">
        <v>333</v>
      </c>
      <c r="E9" s="93" t="s">
        <v>342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3" sqref="A3"/>
    </sheetView>
  </sheetViews>
  <sheetFormatPr defaultRowHeight="12.75" x14ac:dyDescent="0.2"/>
  <cols>
    <col min="1" max="1" width="51.140625" style="119" customWidth="1"/>
    <col min="2" max="2" width="17.42578125" style="119" customWidth="1"/>
    <col min="3" max="3" width="56.42578125" style="119" customWidth="1"/>
    <col min="4" max="16384" width="9.140625" style="119"/>
  </cols>
  <sheetData>
    <row r="1" spans="1:3" x14ac:dyDescent="0.2">
      <c r="A1" s="120" t="s">
        <v>167</v>
      </c>
      <c r="B1" s="120" t="s">
        <v>168</v>
      </c>
      <c r="C1" s="120" t="s">
        <v>169</v>
      </c>
    </row>
    <row r="2" spans="1:3" x14ac:dyDescent="0.2">
      <c r="A2" s="120" t="s">
        <v>96</v>
      </c>
      <c r="B2" s="120" t="s">
        <v>97</v>
      </c>
      <c r="C2" s="120" t="s">
        <v>98</v>
      </c>
    </row>
    <row r="3" spans="1:3" x14ac:dyDescent="0.2">
      <c r="A3" s="120" t="s">
        <v>164</v>
      </c>
      <c r="B3" s="120" t="s">
        <v>165</v>
      </c>
      <c r="C3" s="120" t="s">
        <v>141</v>
      </c>
    </row>
    <row r="4" spans="1:3" x14ac:dyDescent="0.2">
      <c r="A4" s="120" t="s">
        <v>122</v>
      </c>
      <c r="B4" s="120" t="s">
        <v>123</v>
      </c>
      <c r="C4" s="120" t="s">
        <v>124</v>
      </c>
    </row>
    <row r="5" spans="1:3" x14ac:dyDescent="0.2">
      <c r="A5" s="120" t="s">
        <v>131</v>
      </c>
      <c r="B5" s="120" t="s">
        <v>132</v>
      </c>
      <c r="C5" s="120" t="s">
        <v>133</v>
      </c>
    </row>
    <row r="6" spans="1:3" x14ac:dyDescent="0.2">
      <c r="A6" s="120" t="s">
        <v>125</v>
      </c>
      <c r="B6" s="120" t="s">
        <v>126</v>
      </c>
      <c r="C6" s="120" t="s">
        <v>127</v>
      </c>
    </row>
    <row r="7" spans="1:3" x14ac:dyDescent="0.2">
      <c r="A7" s="120" t="s">
        <v>143</v>
      </c>
      <c r="B7" s="120"/>
      <c r="C7" s="120" t="s">
        <v>144</v>
      </c>
    </row>
    <row r="8" spans="1:3" x14ac:dyDescent="0.2">
      <c r="A8" s="120" t="s">
        <v>115</v>
      </c>
      <c r="B8" s="120" t="s">
        <v>116</v>
      </c>
      <c r="C8" s="120" t="s">
        <v>117</v>
      </c>
    </row>
    <row r="9" spans="1:3" x14ac:dyDescent="0.2">
      <c r="A9" s="120" t="s">
        <v>201</v>
      </c>
      <c r="B9" s="120" t="s">
        <v>202</v>
      </c>
      <c r="C9" s="120" t="s">
        <v>203</v>
      </c>
    </row>
    <row r="10" spans="1:3" x14ac:dyDescent="0.2">
      <c r="A10" s="120" t="s">
        <v>109</v>
      </c>
      <c r="B10" s="120" t="s">
        <v>110</v>
      </c>
      <c r="C10" s="121" t="s">
        <v>111</v>
      </c>
    </row>
    <row r="11" spans="1:3" x14ac:dyDescent="0.2">
      <c r="A11" s="120" t="s">
        <v>159</v>
      </c>
      <c r="B11" s="120" t="s">
        <v>160</v>
      </c>
      <c r="C11" s="120" t="s">
        <v>161</v>
      </c>
    </row>
    <row r="12" spans="1:3" x14ac:dyDescent="0.2">
      <c r="A12" s="120" t="s">
        <v>112</v>
      </c>
      <c r="B12" s="120" t="s">
        <v>113</v>
      </c>
      <c r="C12" s="120" t="s">
        <v>114</v>
      </c>
    </row>
    <row r="13" spans="1:3" x14ac:dyDescent="0.2">
      <c r="A13" s="120" t="s">
        <v>128</v>
      </c>
      <c r="B13" s="120" t="s">
        <v>129</v>
      </c>
      <c r="C13" s="120" t="s">
        <v>130</v>
      </c>
    </row>
    <row r="14" spans="1:3" x14ac:dyDescent="0.2">
      <c r="A14" s="120" t="s">
        <v>139</v>
      </c>
      <c r="B14" s="120" t="s">
        <v>140</v>
      </c>
      <c r="C14" s="120" t="s">
        <v>141</v>
      </c>
    </row>
    <row r="15" spans="1:3" x14ac:dyDescent="0.2">
      <c r="A15" s="120" t="s">
        <v>106</v>
      </c>
      <c r="B15" s="120" t="s">
        <v>107</v>
      </c>
      <c r="C15" s="120" t="s">
        <v>108</v>
      </c>
    </row>
    <row r="16" spans="1:3" x14ac:dyDescent="0.2">
      <c r="A16" s="120" t="s">
        <v>118</v>
      </c>
      <c r="B16" s="120" t="s">
        <v>119</v>
      </c>
      <c r="C16" s="121" t="s">
        <v>120</v>
      </c>
    </row>
    <row r="17" spans="1:3" x14ac:dyDescent="0.2">
      <c r="A17" s="120" t="s">
        <v>135</v>
      </c>
      <c r="B17" s="120" t="s">
        <v>136</v>
      </c>
      <c r="C17" s="120" t="s">
        <v>137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2.75" x14ac:dyDescent="0.2"/>
  <cols>
    <col min="1" max="1" width="9.140625" style="128"/>
    <col min="2" max="2" width="17.28515625" style="128" customWidth="1"/>
    <col min="3" max="3" width="16" style="128" customWidth="1"/>
    <col min="4" max="16384" width="9.140625" style="128"/>
  </cols>
  <sheetData>
    <row r="1" spans="1:3" ht="23.25" x14ac:dyDescent="0.35">
      <c r="A1" s="136" t="s">
        <v>371</v>
      </c>
    </row>
    <row r="2" spans="1:3" ht="15" x14ac:dyDescent="0.25">
      <c r="A2" s="45" t="s">
        <v>372</v>
      </c>
    </row>
    <row r="4" spans="1:3" x14ac:dyDescent="0.2">
      <c r="A4" s="128" t="s">
        <v>370</v>
      </c>
      <c r="B4" s="128" t="s">
        <v>369</v>
      </c>
      <c r="C4" s="131">
        <v>47593237.020000003</v>
      </c>
    </row>
    <row r="5" spans="1:3" x14ac:dyDescent="0.2">
      <c r="A5" s="128" t="s">
        <v>368</v>
      </c>
      <c r="B5" s="128" t="s">
        <v>367</v>
      </c>
      <c r="C5" s="131">
        <v>1187857.77</v>
      </c>
    </row>
    <row r="6" spans="1:3" x14ac:dyDescent="0.2">
      <c r="A6" s="135" t="s">
        <v>366</v>
      </c>
      <c r="B6" s="135" t="s">
        <v>365</v>
      </c>
      <c r="C6" s="134">
        <v>87735.41</v>
      </c>
    </row>
    <row r="7" spans="1:3" x14ac:dyDescent="0.2">
      <c r="A7" s="133"/>
      <c r="B7" s="133" t="s">
        <v>67</v>
      </c>
      <c r="C7" s="132">
        <f>SUM(C4:C6)</f>
        <v>48868830.200000003</v>
      </c>
    </row>
    <row r="8" spans="1:3" x14ac:dyDescent="0.2">
      <c r="A8" s="128" t="s">
        <v>364</v>
      </c>
      <c r="B8" s="128" t="s">
        <v>363</v>
      </c>
      <c r="C8" s="131">
        <v>9810120.2100000009</v>
      </c>
    </row>
    <row r="9" spans="1:3" x14ac:dyDescent="0.2">
      <c r="A9" s="130"/>
      <c r="B9" s="130" t="s">
        <v>362</v>
      </c>
      <c r="C9" s="129">
        <f>C7-C8</f>
        <v>39058709.990000002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8</vt:i4>
      </vt:variant>
    </vt:vector>
  </HeadingPairs>
  <TitlesOfParts>
    <vt:vector size="20" baseType="lpstr">
      <vt:lpstr>Resumo</vt:lpstr>
      <vt:lpstr>Distribuição</vt:lpstr>
      <vt:lpstr>(a) Investimentos</vt:lpstr>
      <vt:lpstr>(a) Investimentos (2)</vt:lpstr>
      <vt:lpstr>(b) Timesheet consolidado</vt:lpstr>
      <vt:lpstr>(c) Dedicação exclusiva</vt:lpstr>
      <vt:lpstr>Salários</vt:lpstr>
      <vt:lpstr>Dias úteis</vt:lpstr>
      <vt:lpstr>Salários (bruto)</vt:lpstr>
      <vt:lpstr>Informações RH</vt:lpstr>
      <vt:lpstr>CNPJ NPs</vt:lpstr>
      <vt:lpstr>Receita líquida</vt:lpstr>
      <vt:lpstr>'(a) Investimentos'!Area_de_impressao</vt:lpstr>
      <vt:lpstr>'(a) Investimentos (2)'!Area_de_impressao</vt:lpstr>
      <vt:lpstr>'(b) Timesheet consolidado'!Area_de_impressao</vt:lpstr>
      <vt:lpstr>'(c) Dedicação exclusiva'!Area_de_impressao</vt:lpstr>
      <vt:lpstr>'Dias úteis'!Area_de_impressao</vt:lpstr>
      <vt:lpstr>Salários!Area_de_impressao</vt:lpstr>
      <vt:lpstr>'(a) Investimentos'!Titulos_de_impressao</vt:lpstr>
      <vt:lpstr>'(a) Investimentos (2)'!Titulos_de_impressao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2017-08-10T18:48:02Z</dcterms:modified>
</cp:coreProperties>
</file>